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Z:\Cours\Saé vba\"/>
    </mc:Choice>
  </mc:AlternateContent>
  <xr:revisionPtr revIDLastSave="0" documentId="13_ncr:1_{FFE0641D-4793-4441-A4E0-2B5828687A6A}" xr6:coauthVersionLast="47" xr6:coauthVersionMax="47" xr10:uidLastSave="{00000000-0000-0000-0000-000000000000}"/>
  <bookViews>
    <workbookView xWindow="-98" yWindow="-98" windowWidth="21795" windowHeight="12975" tabRatio="925" activeTab="3" xr2:uid="{6AA46C1D-3959-45A6-8A1F-C28DA7F9B141}"/>
  </bookViews>
  <sheets>
    <sheet name="Coef" sheetId="7" r:id="rId1"/>
    <sheet name="Graphique" sheetId="10" r:id="rId2"/>
    <sheet name="Note" sheetId="8" r:id="rId3"/>
    <sheet name="NBnote" sheetId="9" r:id="rId4"/>
    <sheet name="Annexe" sheetId="1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8" l="1"/>
  <c r="B36" i="8"/>
  <c r="D35" i="8"/>
  <c r="B35" i="8"/>
  <c r="D34" i="8"/>
  <c r="B34" i="8"/>
  <c r="D33" i="8"/>
  <c r="B33" i="8"/>
  <c r="D32" i="8"/>
  <c r="B32" i="8"/>
  <c r="D31" i="8"/>
  <c r="B31" i="8"/>
  <c r="D30" i="8"/>
  <c r="B30" i="8"/>
  <c r="D29" i="8"/>
  <c r="B29" i="8"/>
  <c r="D28" i="8"/>
  <c r="B28" i="8"/>
  <c r="D27" i="8"/>
  <c r="B27" i="8"/>
  <c r="D26" i="8"/>
  <c r="B26" i="8"/>
  <c r="D25" i="8"/>
  <c r="B25" i="8"/>
  <c r="D24" i="8"/>
  <c r="B24" i="8"/>
  <c r="D23" i="8"/>
  <c r="B23" i="8"/>
  <c r="D22" i="8"/>
  <c r="B22" i="8"/>
  <c r="D21" i="8"/>
  <c r="B21" i="8"/>
  <c r="D20" i="8"/>
  <c r="B20" i="8"/>
  <c r="D19" i="8"/>
  <c r="B19" i="8"/>
  <c r="D18" i="8"/>
  <c r="B18" i="8"/>
  <c r="D17" i="8"/>
  <c r="B17" i="8"/>
  <c r="D16" i="8"/>
  <c r="B16" i="8"/>
  <c r="D15" i="8"/>
  <c r="B15" i="8"/>
  <c r="D14" i="8"/>
  <c r="B14" i="8"/>
  <c r="D13" i="8"/>
  <c r="B13" i="8"/>
  <c r="D12" i="8"/>
  <c r="B12" i="8"/>
  <c r="D11" i="8"/>
  <c r="B11" i="8"/>
  <c r="D10" i="8"/>
  <c r="B10" i="8"/>
  <c r="D9" i="8"/>
  <c r="B9" i="8"/>
  <c r="D8" i="8"/>
  <c r="B8" i="8"/>
  <c r="D7" i="8"/>
  <c r="B7" i="8"/>
  <c r="D6" i="8"/>
  <c r="B6" i="8"/>
  <c r="D5" i="8"/>
  <c r="B5" i="8"/>
  <c r="D4" i="8"/>
  <c r="B4" i="8"/>
  <c r="D3" i="8"/>
  <c r="B3" i="8"/>
  <c r="D2" i="8"/>
  <c r="B2" i="8"/>
  <c r="E25" i="7"/>
  <c r="D36" i="12"/>
  <c r="B36" i="12"/>
  <c r="D35" i="12"/>
  <c r="B35" i="12"/>
  <c r="D34" i="12"/>
  <c r="B34" i="12"/>
  <c r="D33" i="12"/>
  <c r="B33" i="12"/>
  <c r="D32" i="12"/>
  <c r="B32" i="12"/>
  <c r="D31" i="12"/>
  <c r="B31" i="12"/>
  <c r="D30" i="12"/>
  <c r="B30" i="12"/>
  <c r="D29" i="12"/>
  <c r="B29" i="12"/>
  <c r="D28" i="12"/>
  <c r="B28" i="12"/>
  <c r="D27" i="12"/>
  <c r="B27" i="12"/>
  <c r="D26" i="12"/>
  <c r="B26" i="12"/>
  <c r="D25" i="12"/>
  <c r="B25" i="12"/>
  <c r="D24" i="12"/>
  <c r="B24" i="12"/>
  <c r="D23" i="12"/>
  <c r="B23" i="12"/>
  <c r="D22" i="12"/>
  <c r="B22" i="12"/>
  <c r="D21" i="12"/>
  <c r="B21" i="12"/>
  <c r="D20" i="12"/>
  <c r="B20" i="12"/>
  <c r="D19" i="12"/>
  <c r="B19" i="12"/>
  <c r="D18" i="12"/>
  <c r="B18" i="12"/>
  <c r="D17" i="12"/>
  <c r="B17" i="12"/>
  <c r="D16" i="12"/>
  <c r="B16" i="12"/>
  <c r="D15" i="12"/>
  <c r="B15" i="12"/>
  <c r="D14" i="12"/>
  <c r="B14" i="12"/>
  <c r="D13" i="12"/>
  <c r="B13" i="12"/>
  <c r="D12" i="12"/>
  <c r="B12" i="12"/>
  <c r="D11" i="12"/>
  <c r="B11" i="12"/>
  <c r="D10" i="12"/>
  <c r="B10" i="12"/>
  <c r="D9" i="12"/>
  <c r="B9" i="12"/>
  <c r="D8" i="12"/>
  <c r="B8" i="12"/>
  <c r="D7" i="12"/>
  <c r="B7" i="12"/>
  <c r="D6" i="12"/>
  <c r="B6" i="12"/>
  <c r="D5" i="12"/>
  <c r="B5" i="12"/>
  <c r="D4" i="12"/>
  <c r="B4" i="12"/>
  <c r="D3" i="12"/>
  <c r="B3" i="12"/>
  <c r="D2" i="12"/>
  <c r="B2" i="12"/>
  <c r="E42" i="7"/>
  <c r="B53" i="10"/>
  <c r="B54" i="10"/>
  <c r="B55" i="10"/>
  <c r="B56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22" i="10"/>
  <c r="D17" i="10"/>
  <c r="D16" i="10"/>
  <c r="C38" i="9"/>
  <c r="I38" i="7"/>
  <c r="E15" i="7" l="1"/>
  <c r="E24" i="7"/>
  <c r="K28" i="7"/>
  <c r="K22" i="7"/>
  <c r="E7" i="7"/>
  <c r="K23" i="7"/>
  <c r="E22" i="7"/>
  <c r="E3" i="7"/>
  <c r="K30" i="7"/>
  <c r="F2" i="8"/>
  <c r="C16" i="10" s="1"/>
  <c r="C17" i="10" s="1"/>
  <c r="E17" i="10" s="1"/>
  <c r="K31" i="7"/>
  <c r="K15" i="7"/>
  <c r="E16" i="7"/>
  <c r="E6" i="7"/>
  <c r="E21" i="7"/>
  <c r="K21" i="7"/>
  <c r="K29" i="7"/>
  <c r="E5" i="7"/>
  <c r="K11" i="7"/>
  <c r="K20" i="7"/>
  <c r="E4" i="7"/>
  <c r="K10" i="7"/>
  <c r="K19" i="7"/>
  <c r="K9" i="7"/>
  <c r="K18" i="7"/>
  <c r="K8" i="7"/>
  <c r="K17" i="7"/>
  <c r="E12" i="7"/>
  <c r="E14" i="7"/>
  <c r="K7" i="7"/>
  <c r="K16" i="7"/>
  <c r="E20" i="7"/>
  <c r="E13" i="7"/>
  <c r="K6" i="7"/>
  <c r="K35" i="7"/>
  <c r="K3" i="7"/>
  <c r="E26" i="7"/>
  <c r="K5" i="7"/>
  <c r="K34" i="7"/>
  <c r="K4" i="7"/>
  <c r="K33" i="7"/>
  <c r="K24" i="7"/>
  <c r="K32" i="7"/>
  <c r="E8" i="7"/>
  <c r="E23" i="7"/>
  <c r="C33" i="10"/>
  <c r="C51" i="10"/>
  <c r="C39" i="10"/>
  <c r="C27" i="10"/>
  <c r="C45" i="10"/>
  <c r="C47" i="10"/>
  <c r="C53" i="10"/>
  <c r="C52" i="10"/>
  <c r="C40" i="10"/>
  <c r="C34" i="10"/>
  <c r="C22" i="10"/>
  <c r="C38" i="10"/>
  <c r="C26" i="10"/>
  <c r="C50" i="10"/>
  <c r="C32" i="10"/>
  <c r="C56" i="10"/>
  <c r="C44" i="10"/>
  <c r="C55" i="10"/>
  <c r="C49" i="10"/>
  <c r="C43" i="10"/>
  <c r="C37" i="10"/>
  <c r="C31" i="10"/>
  <c r="C25" i="10"/>
  <c r="C54" i="10"/>
  <c r="C48" i="10"/>
  <c r="C42" i="10"/>
  <c r="C36" i="10"/>
  <c r="C30" i="10"/>
  <c r="C24" i="10"/>
  <c r="C41" i="10"/>
  <c r="C35" i="10"/>
  <c r="C29" i="10"/>
  <c r="C23" i="10"/>
  <c r="C46" i="10"/>
  <c r="C28" i="10"/>
  <c r="L35" i="7"/>
  <c r="L34" i="7"/>
  <c r="L33" i="7"/>
  <c r="L32" i="7"/>
  <c r="L31" i="7"/>
  <c r="L30" i="7"/>
  <c r="L29" i="7"/>
  <c r="L24" i="7"/>
  <c r="L23" i="7"/>
  <c r="L22" i="7"/>
  <c r="L21" i="7"/>
  <c r="L20" i="7"/>
  <c r="L19" i="7"/>
  <c r="L18" i="7"/>
  <c r="L17" i="7"/>
  <c r="L16" i="7"/>
  <c r="L4" i="7"/>
  <c r="L11" i="7"/>
  <c r="L10" i="7"/>
  <c r="L9" i="7"/>
  <c r="L8" i="7"/>
  <c r="L7" i="7"/>
  <c r="L6" i="7"/>
  <c r="L5" i="7"/>
  <c r="L28" i="7"/>
  <c r="L15" i="7"/>
  <c r="L3" i="7"/>
  <c r="F14" i="7"/>
  <c r="F13" i="7"/>
  <c r="F21" i="7"/>
  <c r="F26" i="7"/>
  <c r="F25" i="7"/>
  <c r="F24" i="7"/>
  <c r="F23" i="7"/>
  <c r="F22" i="7"/>
  <c r="F20" i="7"/>
  <c r="F12" i="7"/>
  <c r="F16" i="7"/>
  <c r="F15" i="7"/>
  <c r="F5" i="7"/>
  <c r="F6" i="7"/>
  <c r="F4" i="7"/>
  <c r="F3" i="7"/>
  <c r="F8" i="7"/>
  <c r="F7" i="7"/>
  <c r="F27" i="7" l="1" a="1"/>
  <c r="F27" i="7" s="1"/>
  <c r="L36" i="7" a="1"/>
  <c r="L36" i="7" s="1"/>
  <c r="L25" i="7" a="1"/>
  <c r="L25" i="7" s="1"/>
  <c r="L12" i="7" a="1"/>
  <c r="L12" i="7" s="1"/>
  <c r="F9" i="7" a="1"/>
  <c r="F9" i="7" s="1"/>
  <c r="F17" i="7" a="1"/>
  <c r="F17" i="7" s="1"/>
  <c r="E16" i="10"/>
  <c r="E27" i="7" a="1"/>
  <c r="E27" i="7" s="1"/>
  <c r="E17" i="7" a="1"/>
  <c r="E17" i="7" s="1"/>
  <c r="E9" i="7" a="1"/>
  <c r="E9" i="7" s="1"/>
  <c r="K36" i="7" a="1"/>
  <c r="K36" i="7" s="1"/>
  <c r="E4" i="10" s="1"/>
  <c r="K25" i="7" a="1"/>
  <c r="K25" i="7" s="1"/>
  <c r="D4" i="10" s="1"/>
  <c r="K12" i="7" a="1"/>
  <c r="K12" i="7" s="1"/>
  <c r="C4" i="10" s="1"/>
  <c r="C41" i="7" l="1"/>
  <c r="C10" i="10" s="1"/>
  <c r="C40" i="7"/>
  <c r="C11" i="10" s="1"/>
  <c r="C39" i="7"/>
  <c r="D40" i="7"/>
  <c r="D11" i="10" s="1"/>
  <c r="D41" i="7"/>
  <c r="D10" i="10" s="1"/>
  <c r="D39" i="7"/>
  <c r="D12" i="10" s="1"/>
  <c r="C3" i="10"/>
  <c r="C5" i="10" s="1"/>
  <c r="D3" i="10"/>
  <c r="E3" i="10"/>
  <c r="C42" i="7" l="1"/>
  <c r="E43" i="7"/>
  <c r="C12" i="10"/>
  <c r="E5" i="10"/>
  <c r="E6" i="10" s="1"/>
  <c r="D5" i="10"/>
  <c r="D6" i="10" s="1"/>
  <c r="C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<sst xmlns="http://schemas.openxmlformats.org/spreadsheetml/2006/main" count="139" uniqueCount="67">
  <si>
    <t>Semestre 1</t>
  </si>
  <si>
    <t>Semestre 2</t>
  </si>
  <si>
    <t>Note</t>
  </si>
  <si>
    <t>Compétence 1 :
Traiter des données à des fins décisionnelles</t>
  </si>
  <si>
    <t>Tableur et Reporting</t>
  </si>
  <si>
    <t>Reporting et datavisualisation</t>
  </si>
  <si>
    <t>Bases de données relationnelles 1</t>
  </si>
  <si>
    <t>Bases de données relationnelles 2</t>
  </si>
  <si>
    <t>Bases de la programmation 1</t>
  </si>
  <si>
    <t>Bases de la programmation 2</t>
  </si>
  <si>
    <t>PPP1</t>
  </si>
  <si>
    <t>Programmation statistique</t>
  </si>
  <si>
    <t xml:space="preserve">SAÉ - Reporting à partir de données stockées dans un SGBD relationnel </t>
  </si>
  <si>
    <t>PPP2</t>
  </si>
  <si>
    <t>SAÉ - Écriture et lecture de fichiers de données</t>
  </si>
  <si>
    <t>SAÉ - Conception et implémentation d'une base de données</t>
  </si>
  <si>
    <t>Moyenne bloc</t>
  </si>
  <si>
    <t>SAÉ - Datavisualisation</t>
  </si>
  <si>
    <t>SAÉ - Analyse de données, reporting et datavisualisation</t>
  </si>
  <si>
    <t>SAÉ - Portfolio</t>
  </si>
  <si>
    <t>Compétence 2 :
Analyser statistiquement les données</t>
  </si>
  <si>
    <t>Statistique descriptive 1</t>
  </si>
  <si>
    <t>Probabilités 1</t>
  </si>
  <si>
    <t>Mathématiques - analyse</t>
  </si>
  <si>
    <t>Statistique descriptive 2</t>
  </si>
  <si>
    <t>SAÉ - Préparation et synthèse d'un tableau de données en vue d'une analyse exploratoire simple</t>
  </si>
  <si>
    <t>Probabilités 2</t>
  </si>
  <si>
    <t>Bases de l'algèbre</t>
  </si>
  <si>
    <t>Statistique inférentielle</t>
  </si>
  <si>
    <t>Compétence 3 :
Valoriser une production dans un contexte professionnel</t>
  </si>
  <si>
    <t>Initiation à l'anglais de spécialité</t>
  </si>
  <si>
    <t>SAÉ - Estimation par échantillonnage</t>
  </si>
  <si>
    <t>Communication de l'information et recherche documentaire</t>
  </si>
  <si>
    <t>SAÉ - Régression sur des données réelles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</si>
  <si>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</si>
  <si>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</si>
  <si>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</si>
  <si>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</si>
  <si>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</si>
  <si>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</si>
  <si>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</si>
  <si>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</si>
  <si>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 xml:space="preserve">Moyenne des compétences </t>
  </si>
  <si>
    <t>Compétence 1</t>
  </si>
  <si>
    <t>Compétence 2</t>
  </si>
  <si>
    <t xml:space="preserve">Compétence 3 </t>
  </si>
  <si>
    <t>Matière</t>
  </si>
  <si>
    <t xml:space="preserve">Nombre devoirs </t>
  </si>
  <si>
    <t>Somme Note</t>
  </si>
  <si>
    <t>Compétence 3</t>
  </si>
  <si>
    <t>Taux d'évolution</t>
  </si>
  <si>
    <t>Pourcentage</t>
  </si>
  <si>
    <t xml:space="preserve"> </t>
  </si>
  <si>
    <t xml:space="preserve">Taux de remplissage </t>
  </si>
  <si>
    <t>Moyenne classe</t>
  </si>
  <si>
    <t>Nbnote</t>
  </si>
  <si>
    <t>Note remplie</t>
  </si>
  <si>
    <t>Note manquante</t>
  </si>
  <si>
    <t>Moyenne élève</t>
  </si>
  <si>
    <t>Nombre</t>
  </si>
  <si>
    <t>Total</t>
  </si>
  <si>
    <t>Matiere</t>
  </si>
  <si>
    <t>Ce tableau présente ne nombre de note par matière ou SAE</t>
  </si>
  <si>
    <t>Voici toute les notes de l'élève, ainsi que la moyenne de</t>
  </si>
  <si>
    <t xml:space="preserve"> a remplie</t>
  </si>
  <si>
    <t>Absence</t>
  </si>
  <si>
    <t xml:space="preserve"> classe, son nombre d'absence, et le nombre de note qu'il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</si>
</sst>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3A7CA5"/>
        <bgColor indexed="64"/>
      </patternFill>
    </fill>
    <fill>
      <patternFill patternType="solid">
        <fgColor rgb="FF5A9BCF"/>
        <bgColor indexed="64"/>
      </patternFill>
    </fill>
    <fill>
      <patternFill patternType="solid">
        <fgColor rgb="FFA9D4E6"/>
        <bgColor indexed="64"/>
      </patternFill>
    </fill>
    <fill>
      <patternFill patternType="solid">
        <fgColor rgb="FF6A9FB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8">
    <xf numFmtId="0" fontId="0" fillId="0" borderId="0" xfId="0"/>
    <xf numFmtId="2" fontId="3" fillId="0" borderId="6" xfId="0" applyNumberFormat="1" applyFont="1" applyBorder="1" applyAlignment="1">
      <alignment horizontal="center" vertical="center"/>
    </xf>
    <xf numFmtId="2" fontId="0" fillId="0" borderId="8" xfId="0" applyNumberFormat="1" applyBorder="1"/>
    <xf numFmtId="2" fontId="3" fillId="0" borderId="10" xfId="0" applyNumberFormat="1" applyFont="1" applyBorder="1" applyAlignment="1">
      <alignment horizontal="center" vertical="center"/>
    </xf>
    <xf numFmtId="0" fontId="5" fillId="0" borderId="0" xfId="0" applyFont="1"/>
    <xf numFmtId="0" fontId="6" fillId="0" borderId="2" xfId="0" applyFont="1" applyBorder="1"/>
    <xf numFmtId="0" fontId="0" fillId="0" borderId="5" xfId="0" applyBorder="1"/>
    <xf numFmtId="0" fontId="0" fillId="0" borderId="9" xfId="0" applyBorder="1"/>
    <xf numFmtId="0" fontId="0" fillId="0" borderId="11" xfId="0" applyBorder="1"/>
    <xf numFmtId="0" fontId="5" fillId="0" borderId="2" xfId="0" applyFont="1" applyBorder="1"/>
    <xf numFmtId="0" fontId="5" fillId="0" borderId="4" xfId="0" applyFont="1" applyBorder="1"/>
    <xf numFmtId="0" fontId="0" fillId="0" borderId="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5" fillId="0" borderId="9" xfId="0" applyFont="1" applyBorder="1" applyAlignment="1">
      <alignment vertical="center" wrapText="1"/>
    </xf>
    <xf numFmtId="0" fontId="7" fillId="0" borderId="10" xfId="0" applyFont="1" applyBorder="1"/>
    <xf numFmtId="2" fontId="0" fillId="0" borderId="0" xfId="0" applyNumberFormat="1"/>
    <xf numFmtId="0" fontId="7" fillId="0" borderId="11" xfId="0" applyFont="1" applyBorder="1"/>
    <xf numFmtId="0" fontId="7" fillId="0" borderId="13" xfId="0" applyFont="1" applyBorder="1"/>
    <xf numFmtId="0" fontId="7" fillId="0" borderId="7" xfId="0" applyFont="1" applyBorder="1"/>
    <xf numFmtId="0" fontId="7" fillId="0" borderId="14" xfId="0" applyFont="1" applyBorder="1"/>
    <xf numFmtId="9" fontId="0" fillId="0" borderId="15" xfId="1" applyFont="1" applyBorder="1"/>
    <xf numFmtId="9" fontId="0" fillId="0" borderId="16" xfId="1" applyFont="1" applyBorder="1"/>
    <xf numFmtId="0" fontId="5" fillId="0" borderId="12" xfId="0" applyFont="1" applyBorder="1"/>
    <xf numFmtId="0" fontId="0" fillId="0" borderId="13" xfId="0" applyBorder="1"/>
    <xf numFmtId="0" fontId="0" fillId="0" borderId="7" xfId="0" applyBorder="1"/>
    <xf numFmtId="164" fontId="0" fillId="0" borderId="8" xfId="1" applyNumberFormat="1" applyFont="1" applyBorder="1"/>
    <xf numFmtId="0" fontId="0" fillId="0" borderId="14" xfId="0" applyBorder="1"/>
    <xf numFmtId="0" fontId="0" fillId="0" borderId="15" xfId="0" applyBorder="1"/>
    <xf numFmtId="164" fontId="0" fillId="0" borderId="16" xfId="1" applyNumberFormat="1" applyFont="1" applyBorder="1"/>
    <xf numFmtId="0" fontId="0" fillId="0" borderId="8" xfId="0" applyBorder="1"/>
    <xf numFmtId="2" fontId="3" fillId="0" borderId="1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2" xfId="0" applyFont="1" applyBorder="1"/>
    <xf numFmtId="2" fontId="0" fillId="0" borderId="16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0" xfId="0" applyProtection="1">
      <protection locked="0"/>
    </xf>
    <xf numFmtId="2" fontId="4" fillId="0" borderId="3" xfId="0" applyNumberFormat="1" applyFont="1" applyBorder="1" applyProtection="1">
      <protection locked="0"/>
    </xf>
    <xf numFmtId="2" fontId="4" fillId="0" borderId="4" xfId="0" applyNumberFormat="1" applyFont="1" applyBorder="1" applyProtection="1"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2" fontId="0" fillId="0" borderId="6" xfId="0" applyNumberFormat="1" applyBorder="1" applyAlignment="1" applyProtection="1">
      <alignment horizont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6" xfId="0" applyNumberFormat="1" applyFont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 wrapText="1"/>
      <protection locked="0"/>
    </xf>
    <xf numFmtId="2" fontId="0" fillId="0" borderId="0" xfId="0" applyNumberFormat="1" applyProtection="1"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Alignment="1" applyProtection="1">
      <alignment vertical="center" wrapText="1"/>
      <protection locked="0"/>
    </xf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2" fontId="3" fillId="0" borderId="17" xfId="0" applyNumberFormat="1" applyFont="1" applyBorder="1" applyAlignment="1" applyProtection="1">
      <alignment horizontal="center" vertical="center"/>
      <protection locked="0"/>
    </xf>
    <xf numFmtId="2" fontId="3" fillId="0" borderId="10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6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9" xfId="0" applyBorder="1" applyProtection="1">
      <protection locked="0"/>
    </xf>
    <xf numFmtId="0" fontId="4" fillId="0" borderId="18" xfId="0" applyFont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/>
    <xf numFmtId="0" fontId="4" fillId="0" borderId="4" xfId="0" applyFont="1" applyBorder="1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2" fillId="0" borderId="5" xfId="0" applyFont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vertical="center" wrapText="1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3" borderId="5" xfId="0" applyFont="1" applyFill="1" applyBorder="1" applyAlignment="1" applyProtection="1">
      <alignment horizontal="left" vertical="center" wrapText="1"/>
      <protection locked="0"/>
    </xf>
    <xf numFmtId="0" fontId="2" fillId="4" borderId="5" xfId="0" applyFont="1" applyFill="1" applyBorder="1" applyAlignment="1" applyProtection="1">
      <alignment horizontal="left" vertical="center" wrapText="1"/>
      <protection locked="0"/>
    </xf>
    <xf numFmtId="0" fontId="2" fillId="4" borderId="5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2" fillId="2" borderId="5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Pourcentage" xfId="1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b val="0"/>
        <i val="0"/>
      </font>
      <fill>
        <patternFill patternType="solid">
          <fgColor rgb="FFFF0000"/>
          <bgColor rgb="FFFFC7CE"/>
        </patternFill>
      </fill>
    </dxf>
    <dxf>
      <font>
        <b val="0"/>
        <i val="0"/>
      </font>
      <fill>
        <patternFill patternType="solid">
          <fgColor indexed="64"/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6EFCE"/>
      <color rgb="FFFFFFFF"/>
      <color rgb="FF6A9FB9"/>
      <color rgb="FF3F84AB"/>
      <color rgb="FF3A7CA5"/>
      <color rgb="FF5A9BCF"/>
      <color rgb="FF000000"/>
      <color rgb="FFA9D4E6"/>
      <color rgb="FF006F6A"/>
      <color rgb="FF1D9D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par compétence sur l'année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Graphique!$C$9</c:f>
              <c:strCache>
                <c:ptCount val="1"/>
                <c:pt idx="0">
                  <c:v>Moyenne élève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Graphique!$B$10:$B$12</c:f>
              <c:strCache>
                <c:ptCount val="3"/>
                <c:pt idx="0">
                  <c:v>Compétence 3 </c:v>
                </c:pt>
                <c:pt idx="1">
                  <c:v>Compétence 2</c:v>
                </c:pt>
                <c:pt idx="2">
                  <c:v>Compétence 1</c:v>
                </c:pt>
              </c:strCache>
            </c:strRef>
          </c:cat>
          <c:val>
            <c:numRef>
              <c:f>Graphique!$C$10:$C$12</c:f>
              <c:numCache>
                <c:formatCode>0.00</c:formatCode>
                <c:ptCount val="3"/>
                <c:pt idx="0">
                  <c:v>14.15</c:v>
                </c:pt>
                <c:pt idx="1">
                  <c:v>7.7250000000000005</c:v>
                </c:pt>
                <c:pt idx="2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B-4B86-A08C-A7EC322EDAFD}"/>
            </c:ext>
          </c:extLst>
        </c:ser>
        <c:ser>
          <c:idx val="1"/>
          <c:order val="1"/>
          <c:tx>
            <c:strRef>
              <c:f>Graphique!$D$9</c:f>
              <c:strCache>
                <c:ptCount val="1"/>
                <c:pt idx="0">
                  <c:v>Moyenne classe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Graphique!$B$10:$B$12</c:f>
              <c:strCache>
                <c:ptCount val="3"/>
                <c:pt idx="0">
                  <c:v>Compétence 3 </c:v>
                </c:pt>
                <c:pt idx="1">
                  <c:v>Compétence 2</c:v>
                </c:pt>
                <c:pt idx="2">
                  <c:v>Compétence 1</c:v>
                </c:pt>
              </c:strCache>
            </c:strRef>
          </c:cat>
          <c:val>
            <c:numRef>
              <c:f>Graphique!$D$10:$D$12</c:f>
              <c:numCache>
                <c:formatCode>0.00</c:formatCode>
                <c:ptCount val="3"/>
                <c:pt idx="0">
                  <c:v>13.149999999999999</c:v>
                </c:pt>
                <c:pt idx="1">
                  <c:v>6.7249999999999996</c:v>
                </c:pt>
                <c:pt idx="2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B-4B86-A08C-A7EC322EDA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50945727"/>
        <c:axId val="1050946143"/>
      </c:barChart>
      <c:catAx>
        <c:axId val="10509457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0946143"/>
        <c:crosses val="autoZero"/>
        <c:auto val="1"/>
        <c:lblAlgn val="ctr"/>
        <c:lblOffset val="100"/>
        <c:noMultiLvlLbl val="0"/>
      </c:catAx>
      <c:valAx>
        <c:axId val="1050946143"/>
        <c:scaling>
          <c:orientation val="minMax"/>
          <c:max val="20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094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d'évolution entre 1er et 2e semestre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Graphique!$C$2:$E$2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Graphique!$C$6:$E$6</c:f>
              <c:numCache>
                <c:formatCode>0%</c:formatCode>
                <c:ptCount val="3"/>
                <c:pt idx="0">
                  <c:v>-3.2000000000000028E-2</c:v>
                </c:pt>
                <c:pt idx="1">
                  <c:v>-0.19298245614035092</c:v>
                </c:pt>
                <c:pt idx="2">
                  <c:v>0.31967213114754123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0-41A8-A411-BCADCEBA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027647"/>
        <c:axId val="1709026815"/>
      </c:barChart>
      <c:catAx>
        <c:axId val="170902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9026815"/>
        <c:crosses val="autoZero"/>
        <c:auto val="1"/>
        <c:lblAlgn val="ctr"/>
        <c:lblOffset val="100"/>
        <c:noMultiLvlLbl val="0"/>
      </c:catAx>
      <c:valAx>
        <c:axId val="170902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902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Proportion des notes données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BF-4667-A53D-60BDD0DD08B4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BF-4667-A53D-60BDD0DD08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Graphique!$B$16:$B$17</c:f>
              <c:strCache>
                <c:ptCount val="2"/>
                <c:pt idx="0">
                  <c:v>Note remplie</c:v>
                </c:pt>
                <c:pt idx="1">
                  <c:v>Note manquante</c:v>
                </c:pt>
              </c:strCache>
            </c:strRef>
          </c:cat>
          <c:val>
            <c:numRef>
              <c:f>Graphique!$E$16:$E$17</c:f>
              <c:numCache>
                <c:formatCode>0.0%</c:formatCode>
                <c:ptCount val="2"/>
                <c:pt idx="0">
                  <c:v>0.52173913043478259</c:v>
                </c:pt>
                <c:pt idx="1">
                  <c:v>0.47826086956521741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F-4667-A53D-60BDD0DD08B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1333500</xdr:colOff>
          <xdr:row>27</xdr:row>
          <xdr:rowOff>38100</xdr:rowOff>
        </xdr:from>
        <xdr:to>
          <xdr:col>2</xdr:col>
          <xdr:colOff>381000</xdr:colOff>
          <xdr:row>31</xdr:row>
          <xdr:rowOff>47625</xdr:rowOff>
        </xdr:to>
        <xdr:sp macro="" textlink="">
          <xdr:nvSpPr>
            <xdr:cNvPr id="1025" name="ajouterno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1323975</xdr:colOff>
          <xdr:row>31</xdr:row>
          <xdr:rowOff>104775</xdr:rowOff>
        </xdr:from>
        <xdr:to>
          <xdr:col>2</xdr:col>
          <xdr:colOff>1704975</xdr:colOff>
          <xdr:row>34</xdr:row>
          <xdr:rowOff>95250</xdr:rowOff>
        </xdr:to>
        <xdr:sp macro="" textlink="">
          <xdr:nvSpPr>
            <xdr:cNvPr id="1026" name="btnSupprimerNo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27</xdr:row>
          <xdr:rowOff>38100</xdr:rowOff>
        </xdr:from>
        <xdr:to>
          <xdr:col>2</xdr:col>
          <xdr:colOff>1866900</xdr:colOff>
          <xdr:row>31</xdr:row>
          <xdr:rowOff>57150</xdr:rowOff>
        </xdr:to>
        <xdr:sp macro="" textlink="">
          <xdr:nvSpPr>
            <xdr:cNvPr id="1027" name="btnModifierNo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27</xdr:row>
          <xdr:rowOff>47625</xdr:rowOff>
        </xdr:from>
        <xdr:to>
          <xdr:col>1</xdr:col>
          <xdr:colOff>1247775</xdr:colOff>
          <xdr:row>34</xdr:row>
          <xdr:rowOff>76200</xdr:rowOff>
        </xdr:to>
        <xdr:sp macro="" textlink="">
          <xdr:nvSpPr>
            <xdr:cNvPr id="1028" name="btnab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27</xdr:row>
          <xdr:rowOff>19050</xdr:rowOff>
        </xdr:from>
        <xdr:to>
          <xdr:col>2</xdr:col>
          <xdr:colOff>2971800</xdr:colOff>
          <xdr:row>35</xdr:row>
          <xdr:rowOff>142875</xdr:rowOff>
        </xdr:to>
        <xdr:sp macro="" textlink="">
          <xdr:nvSpPr>
            <xdr:cNvPr id="1029" name="btnConse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1085850</xdr:colOff>
      <xdr:row>1</xdr:row>
      <xdr:rowOff>76199</xdr:rowOff>
    </xdr:from>
    <xdr:to>
      <xdr:col>9</xdr:col>
      <xdr:colOff>1781175</xdr:colOff>
      <xdr:row>26</xdr:row>
      <xdr:rowOff>142874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1</xdr:row>
      <xdr:rowOff>19049</xdr:rowOff>
    </xdr:from>
    <xdr:to>
      <xdr:col>6</xdr:col>
      <xdr:colOff>904876</xdr:colOff>
      <xdr:row>14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14</xdr:row>
      <xdr:rowOff>142876</xdr:rowOff>
    </xdr:from>
    <xdr:to>
      <xdr:col>6</xdr:col>
      <xdr:colOff>914400</xdr:colOff>
      <xdr:row>26</xdr:row>
      <xdr:rowOff>142876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B1:L46"/>
  <sheetViews>
    <sheetView topLeftCell="A5" zoomScale="60" zoomScaleNormal="60" workbookViewId="0">
      <selection activeCell="B39" sqref="B39"/>
    </sheetView>
  </sheetViews>
  <sheetFormatPr baseColWidth="10" defaultColWidth="47.3984375" defaultRowHeight="14.25" x14ac:dyDescent="0.45"/>
  <cols>
    <col min="1" max="1" width="3.59765625" style="39" customWidth="1"/>
    <col min="2" max="2" width="36.1328125" style="66" customWidth="1"/>
    <col min="3" max="3" width="63" style="39" customWidth="1"/>
    <col min="4" max="4" width="16.265625" style="67" customWidth="1"/>
    <col min="5" max="5" width="18.59765625" style="39" customWidth="1"/>
    <col min="6" max="6" width="18.86328125" style="39" customWidth="1"/>
    <col min="7" max="7" width="7.86328125" style="39" customWidth="1"/>
    <col min="8" max="8" width="50.59765625" style="39" customWidth="1"/>
    <col min="9" max="9" width="63.1328125" style="39" customWidth="1"/>
    <col min="10" max="10" width="4.1328125" style="39" bestFit="1" customWidth="1"/>
    <col min="11" max="11" width="18.59765625" style="39" customWidth="1"/>
    <col min="12" max="12" width="18.86328125" style="39" customWidth="1"/>
    <col min="13" max="16384" width="47.3984375" style="39"/>
  </cols>
  <sheetData>
    <row r="1" spans="2:12" ht="14.65" thickBot="1" x14ac:dyDescent="0.5">
      <c r="B1" s="39"/>
      <c r="D1" s="39"/>
    </row>
    <row r="2" spans="2:12" ht="18" x14ac:dyDescent="0.55000000000000004">
      <c r="B2" s="101" t="s">
        <v>0</v>
      </c>
      <c r="C2" s="102"/>
      <c r="D2" s="102"/>
      <c r="E2" s="75" t="s">
        <v>58</v>
      </c>
      <c r="F2" s="76" t="s">
        <v>54</v>
      </c>
      <c r="H2" s="105" t="s">
        <v>1</v>
      </c>
      <c r="I2" s="106"/>
      <c r="J2" s="106"/>
      <c r="K2" s="40" t="s">
        <v>58</v>
      </c>
      <c r="L2" s="41" t="s">
        <v>54</v>
      </c>
    </row>
    <row r="3" spans="2:12" x14ac:dyDescent="0.45">
      <c r="B3" s="103" t="s">
        <v>3</v>
      </c>
      <c r="C3" s="77" t="s">
        <v>4</v>
      </c>
      <c r="D3" s="78">
        <v>15</v>
      </c>
      <c r="E3" s="79">
        <f ca="1">IF(COUNTIF(Note!$B$1:$B$69,Coef!C3)&gt;0, SUMIF(Note!$B$1:$B$69,Coef!C3,Note!$C$1:$C$1)/COUNTIF(Note!$B$1:$B$69,Coef!C3),"")</f>
        <v>12</v>
      </c>
      <c r="F3" s="80">
        <f ca="1">IF(COUNTIF(Note!$B$1:$B$36,C3)&gt;0, SUMIF(Note!$B$1:$B$36,C3,Note!$D$1:$D$1)/COUNTIF(Note!$B$1:$B$36,C3),"")</f>
        <v>11</v>
      </c>
      <c r="H3" s="107" t="s">
        <v>3</v>
      </c>
      <c r="I3" s="42" t="s">
        <v>5</v>
      </c>
      <c r="J3" s="43">
        <v>10</v>
      </c>
      <c r="K3" s="44">
        <f ca="1">IF(COUNTIF(Note!$B$1:$B$69,Coef!I3)&gt;0, SUMIF(Note!$B$1:$B$69,Coef!I3,Note!$C$1:$C$1)/COUNTIF(Note!$B$1:$B$69,Coef!I3),"")</f>
        <v>9</v>
      </c>
      <c r="L3" s="45">
        <f ca="1">IF(COUNTIF(Note!$B$1:$B$53,I3)&gt;0, SUMIF(Note!$B$1:$B$53,I3,Note!$D$1:$D$1)/COUNTIF(Note!$B$1:$B$453,I3),"")</f>
        <v>8</v>
      </c>
    </row>
    <row r="4" spans="2:12" x14ac:dyDescent="0.45">
      <c r="B4" s="103"/>
      <c r="C4" s="77" t="s">
        <v>6</v>
      </c>
      <c r="D4" s="78">
        <v>20</v>
      </c>
      <c r="E4" s="79">
        <f ca="1">IF(COUNTIF(Note!$B$1:$B$69,Coef!C4)&gt;0, SUMIF(Note!$B$1:$B$69,Coef!C4,Note!$C$1:$C$1)/COUNTIF(Note!$B$1:$B$69,Coef!C4),"")</f>
        <v>12</v>
      </c>
      <c r="F4" s="80">
        <f ca="1">IF(COUNTIF(Note!$B$1:$B$36,C4)&gt;0, SUMIF(Note!$B$1:$B$36,C4,Note!$D$1:$D$1)/COUNTIF(Note!$B$1:$B$36,C4),"")</f>
        <v>11</v>
      </c>
      <c r="H4" s="107"/>
      <c r="I4" s="42" t="s">
        <v>7</v>
      </c>
      <c r="J4" s="43">
        <v>15</v>
      </c>
      <c r="K4" s="44">
        <f ca="1">IF(COUNTIF(Note!$B$1:$B$69,Coef!I4)&gt;0, SUMIF(Note!$B$1:$B$69,Coef!I4,Note!$C$1:$C$1)/COUNTIF(Note!$B$1:$B$69,Coef!I4),"")</f>
        <v>10</v>
      </c>
      <c r="L4" s="45">
        <f ca="1">IF(COUNTIF(Note!$B$1:$B$53,I4)&gt;0, SUMIF(Note!$B$1:$B$53,I4,Note!$D$1:$D$1)/COUNTIF(Note!$B$1:$B$453,I4),"")</f>
        <v>9</v>
      </c>
    </row>
    <row r="5" spans="2:12" x14ac:dyDescent="0.45">
      <c r="B5" s="103"/>
      <c r="C5" s="77" t="s">
        <v>8</v>
      </c>
      <c r="D5" s="78">
        <v>20</v>
      </c>
      <c r="E5" s="79">
        <f ca="1">IF(COUNTIF(Note!$B$1:$B$69,Coef!C5)&gt;0, SUMIF(Note!$B$1:$B$69,Coef!C5,Note!$C$1:$C$1)/COUNTIF(Note!$B$1:$B$69,Coef!C5),"")</f>
        <v>13</v>
      </c>
      <c r="F5" s="80">
        <f ca="1">IF(COUNTIF(Note!$B$1:$B$36,C5)&gt;0, SUMIF(Note!$B$1:$B$36,C5,Note!$D$1:$D$1)/COUNTIF(Note!$B$1:$B$36,C5),"")</f>
        <v>12</v>
      </c>
      <c r="H5" s="107"/>
      <c r="I5" s="42" t="s">
        <v>9</v>
      </c>
      <c r="J5" s="43">
        <v>15</v>
      </c>
      <c r="K5" s="44">
        <f ca="1">IF(COUNTIF(Note!$B$1:$B$69,Coef!I5)&gt;0, SUMIF(Note!$B$1:$B$69,Coef!I5,Note!$C$1:$C$1)/COUNTIF(Note!$B$1:$B$69,Coef!I5),"")</f>
        <v>15</v>
      </c>
      <c r="L5" s="45">
        <f ca="1">IF(COUNTIF(Note!$B$1:$B$53,I5)&gt;0, SUMIF(Note!$B$1:$B$53,I5,Note!$D$1:$D$1)/COUNTIF(Note!$B$1:$B$453,I5),"")</f>
        <v>14</v>
      </c>
    </row>
    <row r="6" spans="2:12" x14ac:dyDescent="0.45">
      <c r="B6" s="103"/>
      <c r="C6" s="81" t="s">
        <v>10</v>
      </c>
      <c r="D6" s="82">
        <v>5</v>
      </c>
      <c r="E6" s="79">
        <f ca="1">IF(COUNTIF(Note!$B$1:$B$69,Coef!C6)&gt;0, SUMIF(Note!$B$1:$B$69,Coef!C6,Note!$C$1:$C$1)/COUNTIF(Note!$B$1:$B$69,Coef!C6),"")</f>
        <v>11</v>
      </c>
      <c r="F6" s="80">
        <f ca="1">IF(COUNTIF(Note!$B$1:$B$36,C6)&gt;0, SUMIF(Note!$B$1:$B$36,C6,Note!$D$1:$D$1)/COUNTIF(Note!$B$1:$B$36,C6),"")</f>
        <v>10</v>
      </c>
      <c r="H6" s="107"/>
      <c r="I6" s="42" t="s">
        <v>11</v>
      </c>
      <c r="J6" s="43">
        <v>15</v>
      </c>
      <c r="K6" s="44">
        <f ca="1">IF(COUNTIF(Note!$B$1:$B$69,Coef!I6)&gt;0, SUMIF(Note!$B$1:$B$69,Coef!I6,Note!$C$1:$C$1)/COUNTIF(Note!$B$1:$B$69,Coef!I6),"")</f>
        <v>16</v>
      </c>
      <c r="L6" s="45">
        <f ca="1">IF(COUNTIF(Note!$B$1:$B$53,I6)&gt;0, SUMIF(Note!$B$1:$B$53,I6,Note!$D$1:$D$1)/COUNTIF(Note!$B$1:$B$453,I6),"")</f>
        <v>15</v>
      </c>
    </row>
    <row r="7" spans="2:12" x14ac:dyDescent="0.45">
      <c r="B7" s="103"/>
      <c r="C7" s="77" t="s">
        <v>12</v>
      </c>
      <c r="D7" s="78">
        <v>30</v>
      </c>
      <c r="E7" s="79">
        <f ca="1">IF(COUNTIF(Note!$B$1:$B$69,Coef!C7)&gt;0, SUMIF(Note!$B$1:$B$69,Coef!C7,Note!$C$1:$C$1)/COUNTIF(Note!$B$1:$B$69,Coef!C7),"")</f>
        <v>12.5</v>
      </c>
      <c r="F7" s="80">
        <f ca="1">IF(COUNTIF(Note!$B$1:$B$36,C7)&gt;0, SUMIF(Note!$B$1:$B$36,C7,Note!$D$1:$D$1)/COUNTIF(Note!$B$1:$B$36,C7),"")</f>
        <v>11.5</v>
      </c>
      <c r="H7" s="107"/>
      <c r="I7" s="46" t="s">
        <v>13</v>
      </c>
      <c r="J7" s="47">
        <v>5</v>
      </c>
      <c r="K7" s="44">
        <f ca="1">IF(COUNTIF(Note!$B$1:$B$69,Coef!I7)&gt;0, SUMIF(Note!$B$1:$B$69,Coef!I7,Note!$C$1:$C$1)/COUNTIF(Note!$B$1:$B$69,Coef!I7),"")</f>
        <v>12</v>
      </c>
      <c r="L7" s="45">
        <f ca="1">IF(COUNTIF(Note!$B$1:$B$53,I7)&gt;0, SUMIF(Note!$B$1:$B$53,I7,Note!$D$1:$D$1)/COUNTIF(Note!$B$1:$B$453,I7),"")</f>
        <v>11</v>
      </c>
    </row>
    <row r="8" spans="2:12" x14ac:dyDescent="0.45">
      <c r="B8" s="103"/>
      <c r="C8" s="77" t="s">
        <v>14</v>
      </c>
      <c r="D8" s="78">
        <v>10</v>
      </c>
      <c r="E8" s="79">
        <f ca="1">IF(COUNTIF(Note!$B$1:$B$69,Coef!C8)&gt;0, SUMIF(Note!$B$1:$B$69,Coef!C8,Note!$C$1:$C$1)/COUNTIF(Note!$B$1:$B$69,Coef!C8),"")</f>
        <v>14</v>
      </c>
      <c r="F8" s="80">
        <f ca="1">IF(COUNTIF(Note!$B$1:$B$36,C8)&gt;0, SUMIF(Note!$B$1:$B$36,C8,Note!$D$1:$D$1)/COUNTIF(Note!$B$1:$B$36,C8),"")</f>
        <v>13</v>
      </c>
      <c r="H8" s="107"/>
      <c r="I8" s="42" t="s">
        <v>15</v>
      </c>
      <c r="J8" s="43">
        <v>10</v>
      </c>
      <c r="K8" s="44">
        <f ca="1">IF(COUNTIF(Note!$B$1:$B$69,Coef!I8)&gt;0, SUMIF(Note!$B$1:$B$69,Coef!I8,Note!$C$1:$C$1)/COUNTIF(Note!$B$1:$B$69,Coef!I8),"")</f>
        <v>12</v>
      </c>
      <c r="L8" s="45">
        <f ca="1">IF(COUNTIF(Note!$B$1:$B$53,I8)&gt;0, SUMIF(Note!$B$1:$B$53,I8,Note!$D$1:$D$1)/COUNTIF(Note!$B$1:$B$453,I8),"")</f>
        <v>11</v>
      </c>
    </row>
    <row r="9" spans="2:12" x14ac:dyDescent="0.45">
      <c r="B9" s="83"/>
      <c r="C9" s="98" t="s">
        <v>16</v>
      </c>
      <c r="D9" s="98"/>
      <c r="E9" s="32" cm="1">
        <f t="array" aca="1" ref="E9" ca="1">IF(SUM(IF(E3:E8&lt;&gt;"", D3:D8, 0))=0, "", SUMPRODUCT(D3:D8, E3:E8) / SUM(IF(E3:E8&lt;&gt;"", D3:D8, 0)))</f>
        <v>12.5</v>
      </c>
      <c r="F9" s="1" cm="1">
        <f t="array" aca="1" ref="F9" ca="1">IF(SUM(IF(F3:F8&lt;&gt;"", D3:D8, 0))=0, "", SUMPRODUCT(D3:D8, F3:F8) / SUM(IF(F3:F8&lt;&gt;"", D3:D8, 0)))</f>
        <v>11.5</v>
      </c>
      <c r="H9" s="107"/>
      <c r="I9" s="51" t="s">
        <v>17</v>
      </c>
      <c r="J9" s="47">
        <v>5</v>
      </c>
      <c r="K9" s="44">
        <f ca="1">IF(COUNTIF(Note!$B$1:$B$69,Coef!I9)&gt;0, SUMIF(Note!$B$1:$B$69,Coef!I9,Note!$C$1:$C$1)/COUNTIF(Note!$B$1:$B$69,Coef!I9),"")</f>
        <v>9</v>
      </c>
      <c r="L9" s="45">
        <f ca="1">IF(COUNTIF(Note!$B$1:$B$53,I9)&gt;0, SUMIF(Note!$B$1:$B$53,I9,Note!$D$1:$D$1)/COUNTIF(Note!$B$1:$B$453,I9),"")</f>
        <v>8</v>
      </c>
    </row>
    <row r="10" spans="2:12" x14ac:dyDescent="0.45">
      <c r="B10" s="84"/>
      <c r="C10" s="85"/>
      <c r="D10" s="85"/>
      <c r="E10" s="17"/>
      <c r="F10" s="2"/>
      <c r="H10" s="107"/>
      <c r="I10" s="51" t="s">
        <v>18</v>
      </c>
      <c r="J10" s="47">
        <v>20</v>
      </c>
      <c r="K10" s="44">
        <f ca="1">IF(COUNTIF(Note!$B$1:$B$69,Coef!I10)&gt;0, SUMIF(Note!$B$1:$B$69,Coef!I10,Note!$C$1:$C$1)/COUNTIF(Note!$B$1:$B$69,Coef!I10),"")</f>
        <v>12</v>
      </c>
      <c r="L10" s="45">
        <f ca="1">IF(COUNTIF(Note!$B$1:$B$53,I10)&gt;0, SUMIF(Note!$B$1:$B$53,I10,Note!$D$1:$D$1)/COUNTIF(Note!$B$1:$B$453,I10),"")</f>
        <v>11</v>
      </c>
    </row>
    <row r="11" spans="2:12" x14ac:dyDescent="0.45">
      <c r="B11" s="84"/>
      <c r="C11" s="85"/>
      <c r="D11" s="85"/>
      <c r="E11" s="86"/>
      <c r="F11" s="87"/>
      <c r="H11" s="107"/>
      <c r="I11" s="46" t="s">
        <v>19</v>
      </c>
      <c r="J11" s="47">
        <v>5</v>
      </c>
      <c r="K11" s="44">
        <f ca="1">IF(COUNTIF(Note!$B$1:$B$69,Coef!I11)&gt;0, SUMIF(Note!$B$1:$B$69,Coef!I11,Note!$C$1:$C$1)/COUNTIF(Note!$B$1:$B$69,Coef!I11),"")</f>
        <v>8</v>
      </c>
      <c r="L11" s="45">
        <f ca="1">IF(COUNTIF(Note!$B$1:$B$53,I11)&gt;0, SUMIF(Note!$B$1:$B$53,I11,Note!$D$1:$D$1)/COUNTIF(Note!$B$1:$B$453,I11),"")</f>
        <v>7</v>
      </c>
    </row>
    <row r="12" spans="2:12" x14ac:dyDescent="0.45">
      <c r="B12" s="104" t="s">
        <v>20</v>
      </c>
      <c r="C12" s="88" t="s">
        <v>21</v>
      </c>
      <c r="D12" s="89">
        <v>20</v>
      </c>
      <c r="E12" s="32">
        <f ca="1">IF(COUNTIF(Note!$B$1:$B$69,Coef!C12)&gt;0, SUMIF(Note!$B$1:$B$69,Coef!C12,Note!$C$1:$C$1)/COUNTIF(Note!$B$1:$B$69,Coef!C12),"")</f>
        <v>9</v>
      </c>
      <c r="F12" s="1">
        <f ca="1">IF(COUNTIF(Note!$B$1:$B$36,C12)&gt;0, SUMIF(Note!$B$1:$B$36,C12,Note!$D$1:$D$1)/COUNTIF(Note!$B$1:$B$36,C12),"")</f>
        <v>8</v>
      </c>
      <c r="H12" s="48"/>
      <c r="I12" s="100" t="s">
        <v>16</v>
      </c>
      <c r="J12" s="100"/>
      <c r="K12" s="49" cm="1">
        <f t="array" aca="1" ref="K12" ca="1">IF(SUM(IF(K3:K11&lt;&gt;"", J3:J11, 0))=0, "", SUMPRODUCT(J3:J11, K3:K11) / SUM(IF(K3:K11&lt;&gt;"", J3:J11, 0)))</f>
        <v>12.1</v>
      </c>
      <c r="L12" s="50" cm="1">
        <f t="array" aca="1" ref="L12" ca="1">IF(SUM(IF(L3:L11&lt;&gt;"", J3:J11, 0))=0, "", SUMPRODUCT(J3:J11, L3:L11) / SUM(IF(L3:L11&lt;&gt;"", J3:J11, 0)))</f>
        <v>11.1</v>
      </c>
    </row>
    <row r="13" spans="2:12" x14ac:dyDescent="0.45">
      <c r="B13" s="104"/>
      <c r="C13" s="88" t="s">
        <v>22</v>
      </c>
      <c r="D13" s="89">
        <v>15</v>
      </c>
      <c r="E13" s="32">
        <f ca="1">IF(COUNTIF(Note!$B$1:$B$69,Coef!C13)&gt;0, SUMIF(Note!$B$1:$B$69,Coef!C13,Note!$C$1:$C$1)/COUNTIF(Note!$B$1:$B$69,Coef!C13),"")</f>
        <v>8</v>
      </c>
      <c r="F13" s="1">
        <f ca="1">IF(COUNTIF(Note!$B$1:$B$36,C13)&gt;0, SUMIF(Note!$B$1:$B$36,C13,Note!$D$1:$D$1)/COUNTIF(Note!$B$1:$B$36,C13),"")</f>
        <v>7</v>
      </c>
      <c r="H13" s="55"/>
      <c r="I13" s="56"/>
      <c r="J13" s="57"/>
      <c r="K13" s="58"/>
      <c r="L13" s="59"/>
    </row>
    <row r="14" spans="2:12" x14ac:dyDescent="0.45">
      <c r="B14" s="104"/>
      <c r="C14" s="88" t="s">
        <v>23</v>
      </c>
      <c r="D14" s="89">
        <v>20</v>
      </c>
      <c r="E14" s="32">
        <f ca="1">IF(COUNTIF(Note!$B$1:$B$69,Coef!C14)&gt;0, SUMIF(Note!$B$1:$B$69,Coef!C14,Note!$C$1:$C$1)/COUNTIF(Note!$B$1:$B$69,Coef!C14),"")</f>
        <v>11</v>
      </c>
      <c r="F14" s="1">
        <f ca="1">IF(COUNTIF(Note!$B$1:$B$36,C14)&gt;0, SUMIF(Note!$B$1:$B$36,C14,Note!$D$1:$D$1)/COUNTIF(Note!$B$1:$B$36,C14),"")</f>
        <v>10</v>
      </c>
      <c r="H14" s="55"/>
      <c r="I14" s="56"/>
      <c r="J14" s="57"/>
      <c r="K14" s="58"/>
      <c r="L14" s="59"/>
    </row>
    <row r="15" spans="2:12" x14ac:dyDescent="0.45">
      <c r="B15" s="104"/>
      <c r="C15" s="81" t="s">
        <v>10</v>
      </c>
      <c r="D15" s="90">
        <v>5</v>
      </c>
      <c r="E15" s="32">
        <f ca="1">IF(COUNTIF(Note!$B$1:$B$69,Coef!C15)&gt;0, SUMIF(Note!$B$1:$B$69,Coef!C15,Note!$C$1:$C$1)/COUNTIF(Note!$B$1:$B$69,Coef!C15),"")</f>
        <v>11</v>
      </c>
      <c r="F15" s="1">
        <f ca="1">IF(COUNTIF(Note!$B$1:$B$36,C15)&gt;0, SUMIF(Note!$B$1:$B$36,C15,Note!$D$1:$D$1)/COUNTIF(Note!$B$1:$B$36,C15),"")</f>
        <v>10</v>
      </c>
      <c r="H15" s="95" t="s">
        <v>20</v>
      </c>
      <c r="I15" s="53" t="s">
        <v>24</v>
      </c>
      <c r="J15" s="54">
        <v>10</v>
      </c>
      <c r="K15" s="44">
        <f ca="1">IF(COUNTIF(Note!$B$1:$B$69,Coef!I15)&gt;0, SUMIF(Note!$B$1:$B$69,Coef!I15,Note!$C$1:$C$1)/COUNTIF(Note!$B$1:$B$69,Coef!I15),"")</f>
        <v>9</v>
      </c>
      <c r="L15" s="45">
        <f ca="1">IF(COUNTIF(Note!$B$1:$B$53,I15)&gt;0, SUMIF(Note!$B$1:$B$53,I15,Note!$D$1:$D$1)/COUNTIF(Note!$B$1:$B$453,I15),"")</f>
        <v>8</v>
      </c>
    </row>
    <row r="16" spans="2:12" ht="28.5" x14ac:dyDescent="0.45">
      <c r="B16" s="104"/>
      <c r="C16" s="88" t="s">
        <v>25</v>
      </c>
      <c r="D16" s="89">
        <v>40</v>
      </c>
      <c r="E16" s="32">
        <f ca="1">IF(COUNTIF(Note!$B$1:$B$69,Coef!C16)&gt;0, SUMIF(Note!$B$1:$B$69,Coef!C16,Note!$C$1:$C$1)/COUNTIF(Note!$B$1:$B$69,Coef!C16),"")</f>
        <v>7</v>
      </c>
      <c r="F16" s="1">
        <f ca="1">IF(COUNTIF(Note!$B$1:$B$36,C16)&gt;0, SUMIF(Note!$B$1:$B$36,C16,Note!$D$1:$D$1)/COUNTIF(Note!$B$1:$B$36,C16),"")</f>
        <v>6</v>
      </c>
      <c r="H16" s="95"/>
      <c r="I16" s="53" t="s">
        <v>26</v>
      </c>
      <c r="J16" s="54">
        <v>15</v>
      </c>
      <c r="K16" s="44">
        <f ca="1">IF(COUNTIF(Note!$B$1:$B$69,Coef!I16)&gt;0, SUMIF(Note!$B$1:$B$69,Coef!I16,Note!$C$1:$C$1)/COUNTIF(Note!$B$1:$B$69,Coef!I16),"")</f>
        <v>1</v>
      </c>
      <c r="L16" s="45">
        <f ca="1">IF(COUNTIF(Note!$B$1:$B$53,I16)&gt;0, SUMIF(Note!$B$1:$B$53,I16,Note!$D$1:$D$1)/COUNTIF(Note!$B$1:$B$453,I16),"")</f>
        <v>0</v>
      </c>
    </row>
    <row r="17" spans="2:12" x14ac:dyDescent="0.45">
      <c r="B17" s="83"/>
      <c r="C17" s="98" t="s">
        <v>16</v>
      </c>
      <c r="D17" s="98"/>
      <c r="E17" s="32" cm="1">
        <f t="array" aca="1" ref="E17" ca="1">IF(SUM(IF(E12:E16&lt;&gt;"", D12:D16, 0))=0, "", SUMPRODUCT(D12:D16, E12:E16) / SUM(IF(E12:E16&lt;&gt;"", D12:D16, 0)))</f>
        <v>8.5500000000000007</v>
      </c>
      <c r="F17" s="1" cm="1">
        <f t="array" aca="1" ref="F17" ca="1">IF(SUM(IF(F12:F16&lt;&gt;"", D12:D16, 0))=0, "", SUMPRODUCT(D12:D16, F12:F16) / SUM(IF(F12:F16&lt;&gt;"", D12:D16, 0)))</f>
        <v>7.55</v>
      </c>
      <c r="H17" s="95"/>
      <c r="I17" s="53" t="s">
        <v>27</v>
      </c>
      <c r="J17" s="54">
        <v>15</v>
      </c>
      <c r="K17" s="44">
        <f ca="1">IF(COUNTIF(Note!$B$1:$B$69,Coef!I17)&gt;0, SUMIF(Note!$B$1:$B$69,Coef!I17,Note!$C$1:$C$1)/COUNTIF(Note!$B$1:$B$69,Coef!I17),"")</f>
        <v>1</v>
      </c>
      <c r="L17" s="45">
        <f ca="1">IF(COUNTIF(Note!$B$1:$B$53,I17)&gt;0, SUMIF(Note!$B$1:$B$53,I17,Note!$D$1:$D$1)/COUNTIF(Note!$B$1:$B$453,I17),"")</f>
        <v>0</v>
      </c>
    </row>
    <row r="18" spans="2:12" x14ac:dyDescent="0.45">
      <c r="B18" s="84"/>
      <c r="C18" s="85"/>
      <c r="D18" s="85"/>
      <c r="E18" s="86"/>
      <c r="F18" s="87"/>
      <c r="H18" s="95"/>
      <c r="I18" s="53" t="s">
        <v>28</v>
      </c>
      <c r="J18" s="54">
        <v>15</v>
      </c>
      <c r="K18" s="44">
        <f ca="1">IF(COUNTIF(Note!$B$1:$B$69,Coef!I18)&gt;0, SUMIF(Note!$B$1:$B$69,Coef!I18,Note!$C$1:$C$1)/COUNTIF(Note!$B$1:$B$69,Coef!I18),"")</f>
        <v>11</v>
      </c>
      <c r="L18" s="45">
        <f ca="1">IF(COUNTIF(Note!$B$1:$B$53,I18)&gt;0, SUMIF(Note!$B$1:$B$53,I18,Note!$D$1:$D$1)/COUNTIF(Note!$B$1:$B$453,I18),"")</f>
        <v>10</v>
      </c>
    </row>
    <row r="19" spans="2:12" x14ac:dyDescent="0.45">
      <c r="B19" s="84"/>
      <c r="C19" s="85"/>
      <c r="D19" s="85"/>
      <c r="E19" s="86"/>
      <c r="F19" s="87"/>
      <c r="H19" s="95"/>
      <c r="I19" s="46" t="s">
        <v>13</v>
      </c>
      <c r="J19" s="60">
        <v>5</v>
      </c>
      <c r="K19" s="44">
        <f ca="1">IF(COUNTIF(Note!$B$1:$B$69,Coef!I19)&gt;0, SUMIF(Note!$B$1:$B$69,Coef!I19,Note!$C$1:$C$1)/COUNTIF(Note!$B$1:$B$69,Coef!I19),"")</f>
        <v>12</v>
      </c>
      <c r="L19" s="45">
        <f ca="1">IF(COUNTIF(Note!$B$1:$B$53,I19)&gt;0, SUMIF(Note!$B$1:$B$53,I19,Note!$D$1:$D$1)/COUNTIF(Note!$B$1:$B$453,I19),"")</f>
        <v>11</v>
      </c>
    </row>
    <row r="20" spans="2:12" x14ac:dyDescent="0.45">
      <c r="B20" s="97" t="s">
        <v>29</v>
      </c>
      <c r="C20" s="91" t="s">
        <v>30</v>
      </c>
      <c r="D20" s="92">
        <v>15</v>
      </c>
      <c r="E20" s="32">
        <f ca="1">IF(COUNTIF(Note!$B$1:$B$69,Coef!C20)&gt;0, SUMIF(Note!$B$1:$B$69,Coef!C20,Note!$C$1:$C$1)/COUNTIF(Note!$B$1:$B$69,Coef!C20),"")</f>
        <v>12</v>
      </c>
      <c r="F20" s="1">
        <f ca="1">IF(COUNTIF(Note!$B$1:$B$36,C20)&gt;0, SUMIF(Note!$B$1:$B$36,C20,Note!$D$1:$D$1)/COUNTIF(Note!$B$1:$B$36,C20),"")</f>
        <v>11</v>
      </c>
      <c r="H20" s="95"/>
      <c r="I20" s="53" t="s">
        <v>31</v>
      </c>
      <c r="J20" s="54">
        <v>10</v>
      </c>
      <c r="K20" s="44">
        <f ca="1">IF(COUNTIF(Note!$B$1:$B$69,Coef!I20)&gt;0, SUMIF(Note!$B$1:$B$69,Coef!I20,Note!$C$1:$C$1)/COUNTIF(Note!$B$1:$B$69,Coef!I20),"")</f>
        <v>6</v>
      </c>
      <c r="L20" s="45">
        <f ca="1">IF(COUNTIF(Note!$B$1:$B$53,I20)&gt;0, SUMIF(Note!$B$1:$B$53,I20,Note!$D$1:$D$1)/COUNTIF(Note!$B$1:$B$453,I20),"")</f>
        <v>5</v>
      </c>
    </row>
    <row r="21" spans="2:12" x14ac:dyDescent="0.45">
      <c r="B21" s="97"/>
      <c r="C21" s="91" t="s">
        <v>32</v>
      </c>
      <c r="D21" s="92">
        <v>15</v>
      </c>
      <c r="E21" s="32">
        <f ca="1">IF(COUNTIF(Note!$B$1:$B$69,Coef!C21)&gt;0, SUMIF(Note!$B$1:$B$69,Coef!C21,Note!$C$1:$C$1)/COUNTIF(Note!$B$1:$B$69,Coef!C21),"")</f>
        <v>10</v>
      </c>
      <c r="F21" s="1">
        <f ca="1">IF(COUNTIF(Note!$B$1:$B$36,C21)&gt;0, SUMIF(Note!$B$1:$B$36,C21,Note!$D$1:$D$1)/COUNTIF(Note!$B$1:$B$36,C21),"")</f>
        <v>9</v>
      </c>
      <c r="H21" s="95"/>
      <c r="I21" s="53" t="s">
        <v>33</v>
      </c>
      <c r="J21" s="54">
        <v>10</v>
      </c>
      <c r="K21" s="44">
        <f ca="1">IF(COUNTIF(Note!$B$1:$B$69,Coef!I21)&gt;0, SUMIF(Note!$B$1:$B$69,Coef!I21,Note!$C$1:$C$1)/COUNTIF(Note!$B$1:$B$69,Coef!I21),"")</f>
        <v>8</v>
      </c>
      <c r="L21" s="45">
        <f ca="1">IF(COUNTIF(Note!$B$1:$B$53,I21)&gt;0, SUMIF(Note!$B$1:$B$53,I21,Note!$D$1:$D$1)/COUNTIF(Note!$B$1:$B$453,I21),"")</f>
        <v>7</v>
      </c>
    </row>
    <row r="22" spans="2:12" x14ac:dyDescent="0.45">
      <c r="B22" s="97"/>
      <c r="C22" s="91" t="s">
        <v>34</v>
      </c>
      <c r="D22" s="92">
        <v>25</v>
      </c>
      <c r="E22" s="32">
        <f ca="1">IF(COUNTIF(Note!$B$1:$B$69,Coef!C22)&gt;0, SUMIF(Note!$B$1:$B$69,Coef!C22,Note!$C$1:$C$1)/COUNTIF(Note!$B$1:$B$69,Coef!C22),"")</f>
        <v>11</v>
      </c>
      <c r="F22" s="1">
        <f ca="1">IF(COUNTIF(Note!$B$1:$B$36,C22)&gt;0, SUMIF(Note!$B$1:$B$36,C22,Note!$D$1:$D$1)/COUNTIF(Note!$B$1:$B$36,C22),"")</f>
        <v>10</v>
      </c>
      <c r="H22" s="95"/>
      <c r="I22" s="51" t="s">
        <v>17</v>
      </c>
      <c r="J22" s="60">
        <v>5</v>
      </c>
      <c r="K22" s="44">
        <f ca="1">IF(COUNTIF(Note!$B$1:$B$69,Coef!I22)&gt;0, SUMIF(Note!$B$1:$B$69,Coef!I22,Note!$C$1:$C$1)/COUNTIF(Note!$B$1:$B$69,Coef!I22),"")</f>
        <v>9</v>
      </c>
      <c r="L22" s="45">
        <f ca="1">IF(COUNTIF(Note!$B$1:$B$53,I22)&gt;0, SUMIF(Note!$B$1:$B$53,I22,Note!$D$1:$D$1)/COUNTIF(Note!$B$1:$B$453,I22),"")</f>
        <v>8</v>
      </c>
    </row>
    <row r="23" spans="2:12" x14ac:dyDescent="0.45">
      <c r="B23" s="97"/>
      <c r="C23" s="81" t="s">
        <v>10</v>
      </c>
      <c r="D23" s="90">
        <v>5</v>
      </c>
      <c r="E23" s="32">
        <f ca="1">IF(COUNTIF(Note!$B$1:$B$69,Coef!C23)&gt;0, SUMIF(Note!$B$1:$B$69,Coef!C23,Note!$C$1:$C$1)/COUNTIF(Note!$B$1:$B$69,Coef!C23),"")</f>
        <v>11</v>
      </c>
      <c r="F23" s="1">
        <f ca="1">IF(COUNTIF(Note!$B$1:$B$36,C23)&gt;0, SUMIF(Note!$B$1:$B$36,C23,Note!$D$1:$D$1)/COUNTIF(Note!$B$1:$B$36,C23),"")</f>
        <v>10</v>
      </c>
      <c r="H23" s="95"/>
      <c r="I23" s="51" t="s">
        <v>18</v>
      </c>
      <c r="J23" s="60">
        <v>10</v>
      </c>
      <c r="K23" s="44">
        <f ca="1">IF(COUNTIF(Note!$B$1:$B$69,Coef!I23)&gt;0, SUMIF(Note!$B$1:$B$69,Coef!I23,Note!$C$1:$C$1)/COUNTIF(Note!$B$1:$B$69,Coef!I23),"")</f>
        <v>12</v>
      </c>
      <c r="L23" s="45">
        <f ca="1">IF(COUNTIF(Note!$B$1:$B$53,I23)&gt;0, SUMIF(Note!$B$1:$B$53,I23,Note!$D$1:$D$1)/COUNTIF(Note!$B$1:$B$453,I23),"")</f>
        <v>11</v>
      </c>
    </row>
    <row r="24" spans="2:12" x14ac:dyDescent="0.45">
      <c r="B24" s="97"/>
      <c r="C24" s="91" t="s">
        <v>35</v>
      </c>
      <c r="D24" s="92">
        <v>15</v>
      </c>
      <c r="E24" s="32">
        <f ca="1">IF(COUNTIF(Note!$B$1:$B$69,Coef!C24)&gt;0, SUMIF(Note!$B$1:$B$69,Coef!C24,Note!$C$1:$C$1)/COUNTIF(Note!$B$1:$B$69,Coef!C24),"")</f>
        <v>13</v>
      </c>
      <c r="F24" s="1">
        <f ca="1">IF(COUNTIF(Note!$B$1:$B$36,C24)&gt;0, SUMIF(Note!$B$1:$B$36,C24,Note!$D$1:$D$1)/COUNTIF(Note!$B$1:$B$36,C24),"")</f>
        <v>12</v>
      </c>
      <c r="H24" s="95"/>
      <c r="I24" s="46" t="s">
        <v>19</v>
      </c>
      <c r="J24" s="60">
        <v>5</v>
      </c>
      <c r="K24" s="44">
        <f ca="1">IF(COUNTIF(Note!$B$1:$B$69,Coef!I24)&gt;0, SUMIF(Note!$B$1:$B$69,Coef!I24,Note!$C$1:$C$1)/COUNTIF(Note!$B$1:$B$69,Coef!I24),"")</f>
        <v>8</v>
      </c>
      <c r="L24" s="45">
        <f ca="1">IF(COUNTIF(Note!$B$1:$B$53,I24)&gt;0, SUMIF(Note!$B$1:$B$53,I24,Note!$D$1:$D$1)/COUNTIF(Note!$B$1:$B$453,I24),"")</f>
        <v>7</v>
      </c>
    </row>
    <row r="25" spans="2:12" x14ac:dyDescent="0.45">
      <c r="B25" s="97"/>
      <c r="C25" s="91" t="s">
        <v>36</v>
      </c>
      <c r="D25" s="92">
        <v>10</v>
      </c>
      <c r="E25" s="32">
        <f ca="1">IF(COUNTIF(Note!$B$1:$B$69,Coef!C25)&gt;0,SUMIF(Note!$B$1:$B$69,Coef!C25,Note!$C$1:$C$1)/COUNTIF(Note!$B$1:$B$69,Coef!C25),"")</f>
        <v>14</v>
      </c>
      <c r="F25" s="1">
        <f ca="1">IF(COUNTIF(Note!$B$1:$B$36,C25)&gt;0, SUMIF(Note!$B$1:$B$36,C25,Note!$D$1:$D$1)/COUNTIF(Note!$B$1:$B$36,C25),"")</f>
        <v>13</v>
      </c>
      <c r="H25" s="48"/>
      <c r="I25" s="100" t="s">
        <v>16</v>
      </c>
      <c r="J25" s="100"/>
      <c r="K25" s="49" cm="1">
        <f t="array" aca="1" ref="K25" ca="1">IF(SUM(IF(K15:K24&lt;&gt;"", J15:J24, 0))=0, "", SUMPRODUCT(J15:J24, K15:K24) / SUM(IF(K15:K24&lt;&gt;"", J15:J24, 0)))</f>
        <v>6.9</v>
      </c>
      <c r="L25" s="50" cm="1">
        <f t="array" aca="1" ref="L25" ca="1">IF(SUM(IF(L15:L24&lt;&gt;"", J15:J24, 0))=0, "", SUMPRODUCT(J15:J24, L15:L24) / SUM(IF(L15:L24&lt;&gt;"", J15:J24, 0)))</f>
        <v>5.9</v>
      </c>
    </row>
    <row r="26" spans="2:12" x14ac:dyDescent="0.45">
      <c r="B26" s="97"/>
      <c r="C26" s="91" t="s">
        <v>37</v>
      </c>
      <c r="D26" s="92">
        <v>15</v>
      </c>
      <c r="E26" s="32">
        <f ca="1">IF(COUNTIF(Note!$B$1:$B$69,Coef!C26)&gt;0, SUMIF(Note!$B$1:$B$69,Coef!C26,Note!$C$1:$C$1)/COUNTIF(Note!$B$1:$B$69,Coef!C26),"")</f>
        <v>15</v>
      </c>
      <c r="F26" s="1">
        <f ca="1">IF(COUNTIF(Note!$B$1:$B$36,C26)&gt;0, SUMIF(Note!$B$1:$B$36,C26,Note!$D$1:$D$1)/COUNTIF(Note!$B$1:$B$36,C26),"")</f>
        <v>14</v>
      </c>
      <c r="H26" s="55"/>
      <c r="I26" s="56"/>
      <c r="J26" s="57"/>
      <c r="K26" s="58"/>
      <c r="L26" s="59"/>
    </row>
    <row r="27" spans="2:12" ht="14.65" thickBot="1" x14ac:dyDescent="0.5">
      <c r="B27" s="93"/>
      <c r="C27" s="99" t="s">
        <v>16</v>
      </c>
      <c r="D27" s="99"/>
      <c r="E27" s="33" cm="1">
        <f t="array" aca="1" ref="E27" ca="1">IF(SUM(IF(E20:E26&lt;&gt;"",D20:D26,0))=0,"",SUMPRODUCT(D20:D26,E20:E26)/SUM(IF(E20:E26&lt;&gt;"",D20:D26,0)))</f>
        <v>12.2</v>
      </c>
      <c r="F27" s="3" cm="1">
        <f t="array" aca="1" ref="F27" ca="1">IF(SUM(IF(F20:F26&lt;&gt;"",D20:D26,0))=0,"",SUMPRODUCT(D20:D26,F20:F26)/SUM(IF(F20:F26&lt;&gt;"",D20:D26,0)))</f>
        <v>11.2</v>
      </c>
      <c r="H27" s="55"/>
      <c r="I27" s="56"/>
      <c r="J27" s="57"/>
      <c r="K27" s="58"/>
      <c r="L27" s="59"/>
    </row>
    <row r="28" spans="2:12" x14ac:dyDescent="0.45">
      <c r="E28" s="52"/>
      <c r="F28" s="52"/>
      <c r="H28" s="96" t="s">
        <v>29</v>
      </c>
      <c r="I28" s="61" t="s">
        <v>38</v>
      </c>
      <c r="J28" s="62">
        <v>15</v>
      </c>
      <c r="K28" s="44">
        <f ca="1">IF(COUNTIF(Note!$B$1:$B$69,Coef!I28)&gt;0, SUMIF(Note!$B$1:$B$69,Coef!I28,Note!$C$1:$C$1)/COUNTIF(Note!$B$1:$B$69,Coef!I28),"")</f>
        <v>18</v>
      </c>
      <c r="L28" s="45">
        <f ca="1">IF(COUNTIF(Note!$B$1:$B$53,I28)&gt;0, SUMIF(Note!$B$1:$B$53,I28,Note!$D$1:$D$1)/COUNTIF(Note!$B$1:$B$453,I28),"")</f>
        <v>17</v>
      </c>
    </row>
    <row r="29" spans="2:12" x14ac:dyDescent="0.45">
      <c r="E29" s="52"/>
      <c r="F29" s="52"/>
      <c r="H29" s="96"/>
      <c r="I29" s="61" t="s">
        <v>39</v>
      </c>
      <c r="J29" s="62">
        <v>15</v>
      </c>
      <c r="K29" s="44">
        <f ca="1">IF(COUNTIF(Note!$B$1:$B$69,Coef!I29)&gt;0, SUMIF(Note!$B$1:$B$69,Coef!I29,Note!$C$1:$C$1)/COUNTIF(Note!$B$1:$B$69,Coef!I29),"")</f>
        <v>19</v>
      </c>
      <c r="L29" s="45">
        <f ca="1">IF(COUNTIF(Note!$B$1:$B$53,I29)&gt;0, SUMIF(Note!$B$1:$B$53,I29,Note!$D$1:$D$1)/COUNTIF(Note!$B$1:$B$453,I29),"")</f>
        <v>18</v>
      </c>
    </row>
    <row r="30" spans="2:12" x14ac:dyDescent="0.45">
      <c r="H30" s="96"/>
      <c r="I30" s="61" t="s">
        <v>40</v>
      </c>
      <c r="J30" s="62">
        <v>25</v>
      </c>
      <c r="K30" s="44">
        <f ca="1">IF(COUNTIF(Note!$B$1:$B$69,Coef!I30)&gt;0, SUMIF(Note!$B$1:$B$69,Coef!I30,Note!$C$1:$C$1)/COUNTIF(Note!$B$1:$B$69,Coef!I30),"")</f>
        <v>20</v>
      </c>
      <c r="L30" s="45">
        <f ca="1">IF(COUNTIF(Note!$B$1:$B$53,I30)&gt;0, SUMIF(Note!$B$1:$B$53,I30,Note!$D$1:$D$1)/COUNTIF(Note!$B$1:$B$453,I30),"")</f>
        <v>19</v>
      </c>
    </row>
    <row r="31" spans="2:12" x14ac:dyDescent="0.45">
      <c r="H31" s="96"/>
      <c r="I31" s="46" t="s">
        <v>13</v>
      </c>
      <c r="J31" s="60">
        <v>5</v>
      </c>
      <c r="K31" s="44">
        <f ca="1">IF(COUNTIF(Note!$B$1:$B$69,Coef!I31)&gt;0, SUMIF(Note!$B$1:$B$69,Coef!I31,Note!$C$1:$C$1)/COUNTIF(Note!$B$1:$B$69,Coef!I31),"")</f>
        <v>12</v>
      </c>
      <c r="L31" s="45">
        <f ca="1">IF(COUNTIF(Note!$B$1:$B$53,I31)&gt;0, SUMIF(Note!$B$1:$B$53,I31,Note!$D$1:$D$1)/COUNTIF(Note!$B$1:$B$453,I31),"")</f>
        <v>11</v>
      </c>
    </row>
    <row r="32" spans="2:12" x14ac:dyDescent="0.45">
      <c r="H32" s="96"/>
      <c r="I32" s="51" t="s">
        <v>17</v>
      </c>
      <c r="J32" s="60">
        <v>5</v>
      </c>
      <c r="K32" s="44">
        <f ca="1">IF(COUNTIF(Note!$B$1:$B$69,Coef!I32)&gt;0, SUMIF(Note!$B$1:$B$69,Coef!I32,Note!$C$1:$C$1)/COUNTIF(Note!$B$1:$B$69,Coef!I32),"")</f>
        <v>9</v>
      </c>
      <c r="L32" s="45">
        <f ca="1">IF(COUNTIF(Note!$B$1:$B$53,I32)&gt;0, SUMIF(Note!$B$1:$B$53,I32,Note!$D$1:$D$1)/COUNTIF(Note!$B$1:$B$453,I32),"")</f>
        <v>8</v>
      </c>
    </row>
    <row r="33" spans="2:12" x14ac:dyDescent="0.45">
      <c r="D33" s="67" t="s">
        <v>52</v>
      </c>
      <c r="H33" s="96"/>
      <c r="I33" s="61" t="s">
        <v>41</v>
      </c>
      <c r="J33" s="62">
        <v>10</v>
      </c>
      <c r="K33" s="44">
        <f ca="1">IF(COUNTIF(Note!$B$1:$B$69,Coef!I33)&gt;0, SUMIF(Note!$B$1:$B$69,Coef!I33,Note!$C$1:$C$1)/COUNTIF(Note!$B$1:$B$69,Coef!I33),"")</f>
        <v>17</v>
      </c>
      <c r="L33" s="45">
        <f ca="1">IF(COUNTIF(Note!$B$1:$B$53,I33)&gt;0, SUMIF(Note!$B$1:$B$53,I33,Note!$D$1:$D$1)/COUNTIF(Note!$B$1:$B$453,I33),"")</f>
        <v>16</v>
      </c>
    </row>
    <row r="34" spans="2:12" x14ac:dyDescent="0.45">
      <c r="H34" s="96"/>
      <c r="I34" s="51" t="s">
        <v>18</v>
      </c>
      <c r="J34" s="60">
        <v>20</v>
      </c>
      <c r="K34" s="44">
        <f ca="1">IF(COUNTIF(Note!$B$1:$B$69,Coef!I34)&gt;0, SUMIF(Note!$B$1:$B$69,Coef!I34,Note!$C$1:$C$1)/COUNTIF(Note!$B$1:$B$69,Coef!I34),"")</f>
        <v>12</v>
      </c>
      <c r="L34" s="45">
        <f ca="1">IF(COUNTIF(Note!$B$1:$B$53,I34)&gt;0, SUMIF(Note!$B$1:$B$53,I34,Note!$D$1:$D$1)/COUNTIF(Note!$B$1:$B$453,I34),"")</f>
        <v>11</v>
      </c>
    </row>
    <row r="35" spans="2:12" x14ac:dyDescent="0.45">
      <c r="H35" s="96"/>
      <c r="I35" s="46" t="s">
        <v>19</v>
      </c>
      <c r="J35" s="60">
        <v>5</v>
      </c>
      <c r="K35" s="44">
        <f ca="1">IF(COUNTIF(Note!$B$1:$B$69,Coef!I35)&gt;0, SUMIF(Note!$B$1:$B$69,Coef!I35,Note!$C$1:$C$1)/COUNTIF(Note!$B$1:$B$69,Coef!I35),"")</f>
        <v>8</v>
      </c>
      <c r="L35" s="45">
        <f ca="1">IF(COUNTIF(Note!$B$1:$B$53,I35)&gt;0, SUMIF(Note!$B$1:$B$53,I35,Note!$D$1:$D$1)/COUNTIF(Note!$B$1:$B$453,I35),"")</f>
        <v>7</v>
      </c>
    </row>
    <row r="36" spans="2:12" ht="14.65" thickBot="1" x14ac:dyDescent="0.5">
      <c r="H36" s="63"/>
      <c r="I36" s="94" t="s">
        <v>16</v>
      </c>
      <c r="J36" s="94"/>
      <c r="K36" s="64" cm="1">
        <f t="array" aca="1" ref="K36" ca="1">IF(SUM(IF(K28:K35&lt;&gt;"", J28:J35, 0))=0, "", SUMPRODUCT(J28:J35, K28:K35) / SUM(IF(K28:K35&lt;&gt;"", J28:J35, 0)))</f>
        <v>16.100000000000001</v>
      </c>
      <c r="L36" s="65" cm="1">
        <f t="array" aca="1" ref="L36" ca="1">IF(SUM(IF(L28:L35&lt;&gt;"", J28:J35, 0))=0, "", SUMPRODUCT(J28:J35, L28:L35) / SUM(IF(L28:L35&lt;&gt;"", J28:J35, 0)))</f>
        <v>15.1</v>
      </c>
    </row>
    <row r="37" spans="2:12" ht="14.65" thickBot="1" x14ac:dyDescent="0.5"/>
    <row r="38" spans="2:12" ht="21" x14ac:dyDescent="0.65">
      <c r="B38" s="68" t="s">
        <v>42</v>
      </c>
      <c r="C38" s="69" t="s">
        <v>58</v>
      </c>
      <c r="D38" s="70" t="s">
        <v>54</v>
      </c>
      <c r="I38" s="39" t="str">
        <f>IF(COUNTIF(Note!$B$1:$B$1,Coef!C3)&gt;0, SUMIF(Note!$B$1:$B$1,Coef!C3,Note!$C$1:$C$1)/COUNTIF(Note!$B$1:$B$1,Coef!C3),"")</f>
        <v/>
      </c>
    </row>
    <row r="39" spans="2:12" x14ac:dyDescent="0.45">
      <c r="B39" s="71" t="s">
        <v>43</v>
      </c>
      <c r="C39" s="49">
        <f ca="1">IF(AND(E9="", K12=""), "", IF(E9="", K12, IF(K12="", E9, AVERAGE(E9, K12) - IF(Note!E2 &gt;= 6, (Note!E2-5)*0.2))))</f>
        <v>12.3</v>
      </c>
      <c r="D39" s="50">
        <f ca="1">IF(AND(F9="", L12=""), "", IF(F9="", L12, IF(L12="", F9, AVERAGE(F9, L12))))</f>
        <v>11.3</v>
      </c>
    </row>
    <row r="40" spans="2:12" x14ac:dyDescent="0.45">
      <c r="B40" s="71" t="s">
        <v>44</v>
      </c>
      <c r="C40" s="49">
        <f ca="1">IF(AND(E17="", K25=""), "", IF(E17="", K25, IF(K25="", E17, AVERAGE(E17, K25) - IF(Note!E2 &gt;= 6, (Note!E2-5)*0.2))))</f>
        <v>7.7250000000000005</v>
      </c>
      <c r="D40" s="50">
        <f ca="1">IF(AND(F17="", L25=""), "", IF(F17="", L25, IF(L25="", F17, AVERAGE(F17, L25))))</f>
        <v>6.7249999999999996</v>
      </c>
    </row>
    <row r="41" spans="2:12" ht="14.65" thickBot="1" x14ac:dyDescent="0.5">
      <c r="B41" s="72" t="s">
        <v>45</v>
      </c>
      <c r="C41" s="64">
        <f ca="1">IF(AND(E27="", K36=""), "", IF(E27="", K36, IF(K36="", E27, AVERAGE(E27, K36) - IF(Note!E2 &gt;= 6, (Note!E2-5)*0.2))))</f>
        <v>14.15</v>
      </c>
      <c r="D41" s="65">
        <f ca="1">IF(AND(F27="", L36=""), "", IF(F27="", L36, IF(L36="", F27, AVERAGE(F27, L36))))</f>
        <v>13.149999999999999</v>
      </c>
    </row>
    <row r="42" spans="2:12" ht="18" x14ac:dyDescent="0.55000000000000004">
      <c r="B42" s="39"/>
      <c r="C42" s="73" t="str">
        <f ca="1">IF(OR(C39="",  C40="",  C41=""), "", IF(AND(COUNTIF(C39:C41,"&gt;="&amp;10)&gt;=2, COUNTIF(C39:C41,"&gt;="&amp;8)=3), IF(COUNTIF(Note!C2:C54,"=ABI"), "Votre année n'est pas validée à cause de l'ABI", "Votre année est validée !"), "Votre année n'est pas validée !"))</f>
        <v>Votre année n'est pas validée !</v>
      </c>
      <c r="E42" s="39" t="str">
        <f>IF(Note!E2 &gt;= 6, "Vous avez cumulé plus de 5 absences injustifiés, vous avez -" &amp; (Note!E2-5)*0.2 &amp; " points dans chaque compétence", "")</f>
        <v/>
      </c>
    </row>
    <row r="43" spans="2:12" ht="15.75" x14ac:dyDescent="0.5">
      <c r="E43" s="74" t="str">
        <f ca="1">IF(OR(C39="",C40="",C41=""),"",IF(AND(COUNTIF(C39:C41,"&gt;="&amp;10)&gt;=2,COUNTIF(C39:C41,"&gt;="&amp;8)=3, COUNTIF(Note!C2:C54,"=ABI")=0)=FALSE, "Vous pouvez cliquer sur notre bouton conseil afin de voir comment vous améliorer", ""))</f>
        <v>Vous pouvez cliquer sur notre bouton conseil afin de voir comment vous améliorer</v>
      </c>
    </row>
    <row r="45" spans="2:12" x14ac:dyDescent="0.45">
      <c r="D45" s="39"/>
    </row>
    <row r="46" spans="2:12" x14ac:dyDescent="0.45">
      <c r="D46" s="39"/>
    </row>
  </sheetData>
  <sheetProtection sheet="1" objects="1" scenarios="1"/>
  <mergeCells count="14">
    <mergeCell ref="B2:D2"/>
    <mergeCell ref="B3:B8"/>
    <mergeCell ref="B12:B16"/>
    <mergeCell ref="H2:J2"/>
    <mergeCell ref="H3:H11"/>
    <mergeCell ref="I36:J36"/>
    <mergeCell ref="H15:H24"/>
    <mergeCell ref="H28:H35"/>
    <mergeCell ref="B20:B26"/>
    <mergeCell ref="C9:D9"/>
    <mergeCell ref="C17:D17"/>
    <mergeCell ref="C27:D27"/>
    <mergeCell ref="I12:J12"/>
    <mergeCell ref="I25:J25"/>
  </mergeCells>
  <conditionalFormatting sqref="E9 E17 E27 K12 K25 K36 C39:C41">
    <cfRule type="expression" dxfId="10" priority="12">
      <formula>NOT(ISNUMBER(C9))</formula>
    </cfRule>
    <cfRule type="cellIs" dxfId="9" priority="14" operator="greaterThanOrEqual">
      <formula>10</formula>
    </cfRule>
    <cfRule type="cellIs" dxfId="8" priority="35" operator="between">
      <formula>8</formula>
      <formula>10</formula>
    </cfRule>
    <cfRule type="cellIs" dxfId="7" priority="36" operator="lessThan">
      <formula>8</formula>
    </cfRule>
  </conditionalFormatting>
  <conditionalFormatting sqref="C42">
    <cfRule type="expression" dxfId="6" priority="1">
      <formula>OR(C39="",C40="",C41="")</formula>
    </cfRule>
  </conditionalFormatting>
  <pageMargins left="0.7" right="0.7" top="0.75" bottom="0.75" header="0.3" footer="0.3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ModifierNote">
          <controlPr defaultSize="0" autoLine="0" autoPict="0" r:id="rId5">
            <anchor moveWithCells="1">
              <from>
                <xdr:col>2</xdr:col>
                <xdr:colOff>447675</xdr:colOff>
                <xdr:row>27</xdr:row>
                <xdr:rowOff>38100</xdr:rowOff>
              </from>
              <to>
                <xdr:col>2</xdr:col>
                <xdr:colOff>1866900</xdr:colOff>
                <xdr:row>31</xdr:row>
                <xdr:rowOff>57150</xdr:rowOff>
              </to>
            </anchor>
          </controlPr>
        </control>
      </mc:Choice>
      <mc:Fallback>
        <control shapeId="1027" r:id="rId4" name="btnModifierNote"/>
      </mc:Fallback>
    </mc:AlternateContent>
    <mc:AlternateContent xmlns:mc="http://schemas.openxmlformats.org/markup-compatibility/2006">
      <mc:Choice Requires="x14">
        <control shapeId="1026" r:id="rId6" name="btnSupprimerNotes">
          <controlPr defaultSize="0" autoLine="0" r:id="rId7">
            <anchor moveWithCells="1">
              <from>
                <xdr:col>1</xdr:col>
                <xdr:colOff>1323975</xdr:colOff>
                <xdr:row>31</xdr:row>
                <xdr:rowOff>104775</xdr:rowOff>
              </from>
              <to>
                <xdr:col>2</xdr:col>
                <xdr:colOff>1704975</xdr:colOff>
                <xdr:row>34</xdr:row>
                <xdr:rowOff>95250</xdr:rowOff>
              </to>
            </anchor>
          </controlPr>
        </control>
      </mc:Choice>
      <mc:Fallback>
        <control shapeId="1026" r:id="rId6" name="btnSupprimerNotes"/>
      </mc:Fallback>
    </mc:AlternateContent>
    <mc:AlternateContent xmlns:mc="http://schemas.openxmlformats.org/markup-compatibility/2006">
      <mc:Choice Requires="x14">
        <control shapeId="1025" r:id="rId8" name="ajouternote">
          <controlPr defaultSize="0" autoLine="0" autoPict="0" r:id="rId9">
            <anchor moveWithCells="1">
              <from>
                <xdr:col>1</xdr:col>
                <xdr:colOff>1333500</xdr:colOff>
                <xdr:row>27</xdr:row>
                <xdr:rowOff>38100</xdr:rowOff>
              </from>
              <to>
                <xdr:col>2</xdr:col>
                <xdr:colOff>381000</xdr:colOff>
                <xdr:row>31</xdr:row>
                <xdr:rowOff>47625</xdr:rowOff>
              </to>
            </anchor>
          </controlPr>
        </control>
      </mc:Choice>
      <mc:Fallback>
        <control shapeId="1025" r:id="rId8" name="ajouternote"/>
      </mc:Fallback>
    </mc:AlternateContent>
    <mc:AlternateContent xmlns:mc="http://schemas.openxmlformats.org/markup-compatibility/2006">
      <mc:Choice Requires="x14">
        <control shapeId="1028" r:id="rId10" name="btnabs">
          <controlPr defaultSize="0" autoLine="0" autoPict="0" r:id="rId11">
            <anchor moveWithCells="1">
              <from>
                <xdr:col>1</xdr:col>
                <xdr:colOff>28575</xdr:colOff>
                <xdr:row>27</xdr:row>
                <xdr:rowOff>47625</xdr:rowOff>
              </from>
              <to>
                <xdr:col>1</xdr:col>
                <xdr:colOff>1247775</xdr:colOff>
                <xdr:row>34</xdr:row>
                <xdr:rowOff>76200</xdr:rowOff>
              </to>
            </anchor>
          </controlPr>
        </control>
      </mc:Choice>
      <mc:Fallback>
        <control shapeId="1028" r:id="rId10" name="btnabs"/>
      </mc:Fallback>
    </mc:AlternateContent>
    <mc:AlternateContent xmlns:mc="http://schemas.openxmlformats.org/markup-compatibility/2006">
      <mc:Choice Requires="x14">
        <control shapeId="1029" r:id="rId12" name="btnConseil">
          <controlPr defaultSize="0" autoLine="0" r:id="rId13">
            <anchor moveWithCells="1">
              <from>
                <xdr:col>2</xdr:col>
                <xdr:colOff>1905000</xdr:colOff>
                <xdr:row>27</xdr:row>
                <xdr:rowOff>19050</xdr:rowOff>
              </from>
              <to>
                <xdr:col>2</xdr:col>
                <xdr:colOff>2971800</xdr:colOff>
                <xdr:row>35</xdr:row>
                <xdr:rowOff>142875</xdr:rowOff>
              </to>
            </anchor>
          </controlPr>
        </control>
      </mc:Choice>
      <mc:Fallback>
        <control shapeId="1029" r:id="rId12" name="btnConseil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2000000}">
            <xm:f>AND(COUNTIF(C39:C41,"&gt;="&amp;10)&gt;=2,COUNTIF(C39:C41,"&gt;="&amp;8)=3, COUNTIF(Note!C2:C54,"=ABI")=0)=TRUE</xm:f>
            <x14:dxf>
              <font>
                <b val="0"/>
                <i val="0"/>
              </font>
              <fill>
                <patternFill patternType="solid">
                  <fgColor indexed="64"/>
                  <bgColor rgb="FFC6EFCE"/>
                </patternFill>
              </fill>
            </x14:dxf>
          </x14:cfRule>
          <x14:cfRule type="expression" priority="40" id="{00000000-000E-0000-0000-000003000000}">
            <xm:f>AND(COUNTIF(C39:C41,"&gt;="&amp;10)&gt;=2,COUNTIF(C39:C41,"&gt;="&amp;8)=3, COUNTIF(Note!C2:C54,"=ABI")=0)=FALSE</xm:f>
            <x14:dxf>
              <font>
                <b val="0"/>
                <i val="0"/>
              </font>
              <fill>
                <patternFill patternType="solid">
                  <fgColor rgb="FFFF0000"/>
                  <bgColor rgb="FFFFC7CE"/>
                </patternFill>
              </fill>
            </x14:dxf>
          </x14:cfRule>
          <xm:sqref>C42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251A-2ACF-4FAA-BDD6-F68EB95D8372}">
  <sheetPr codeName="Feuil4"/>
  <dimension ref="B1:E56"/>
  <sheetViews>
    <sheetView workbookViewId="0"/>
  </sheetViews>
  <sheetFormatPr baseColWidth="10" defaultColWidth="34.3984375" defaultRowHeight="14.25" x14ac:dyDescent="0.45"/>
  <cols>
    <col min="1" max="1" width="3.73046875" customWidth="1"/>
    <col min="2" max="2" width="35.3984375" customWidth="1"/>
    <col min="3" max="3" width="14.59765625" customWidth="1"/>
    <col min="4" max="4" width="14.265625" customWidth="1"/>
    <col min="5" max="5" width="13.59765625" customWidth="1"/>
  </cols>
  <sheetData>
    <row r="1" spans="2:5" ht="14.65" thickBot="1" x14ac:dyDescent="0.5"/>
    <row r="2" spans="2:5" ht="15.75" x14ac:dyDescent="0.5">
      <c r="B2" s="24" t="s">
        <v>50</v>
      </c>
      <c r="C2" s="18" t="s">
        <v>43</v>
      </c>
      <c r="D2" s="18" t="s">
        <v>44</v>
      </c>
      <c r="E2" s="19" t="s">
        <v>49</v>
      </c>
    </row>
    <row r="3" spans="2:5" x14ac:dyDescent="0.45">
      <c r="B3" s="20" t="s">
        <v>0</v>
      </c>
      <c r="C3" s="17">
        <f ca="1">Coef!E9</f>
        <v>12.5</v>
      </c>
      <c r="D3" s="17">
        <f ca="1">Coef!E17</f>
        <v>8.5500000000000007</v>
      </c>
      <c r="E3" s="2">
        <f ca="1">Coef!E27</f>
        <v>12.2</v>
      </c>
    </row>
    <row r="4" spans="2:5" x14ac:dyDescent="0.45">
      <c r="B4" s="20" t="s">
        <v>1</v>
      </c>
      <c r="C4" s="17">
        <f ca="1">Coef!K12</f>
        <v>12.1</v>
      </c>
      <c r="D4" s="17">
        <f ca="1">Coef!K25</f>
        <v>6.9</v>
      </c>
      <c r="E4" s="2">
        <f ca="1">Coef!K36</f>
        <v>16.100000000000001</v>
      </c>
    </row>
    <row r="5" spans="2:5" x14ac:dyDescent="0.45">
      <c r="B5" s="20" t="s">
        <v>50</v>
      </c>
      <c r="C5" s="17">
        <f ca="1">IF(OR(C4="", C3="", C3=0), "", C4/C3)</f>
        <v>0.96799999999999997</v>
      </c>
      <c r="D5" s="17">
        <f t="shared" ref="D5:E5" ca="1" si="0">IF(OR(D4="", D3="", D3=0), "", D4/D3)</f>
        <v>0.80701754385964908</v>
      </c>
      <c r="E5" s="2">
        <f t="shared" ca="1" si="0"/>
        <v>1.3196721311475412</v>
      </c>
    </row>
    <row r="6" spans="2:5" ht="14.65" thickBot="1" x14ac:dyDescent="0.5">
      <c r="B6" s="21" t="s">
        <v>51</v>
      </c>
      <c r="C6" s="22">
        <f ca="1">IF(C5="", "", IF(C5&lt;1, -(1-C5), C5-1))</f>
        <v>-3.2000000000000028E-2</v>
      </c>
      <c r="D6" s="22">
        <f t="shared" ref="D6:E6" ca="1" si="1">IF(D5="", "", IF(D5&lt;1, -(1-D5), D5-1))</f>
        <v>-0.19298245614035092</v>
      </c>
      <c r="E6" s="23">
        <f t="shared" ca="1" si="1"/>
        <v>0.31967213114754123</v>
      </c>
    </row>
    <row r="8" spans="2:5" ht="14.65" thickBot="1" x14ac:dyDescent="0.5"/>
    <row r="9" spans="2:5" ht="21" x14ac:dyDescent="0.65">
      <c r="B9" s="5" t="s">
        <v>42</v>
      </c>
      <c r="C9" s="36" t="s">
        <v>58</v>
      </c>
      <c r="D9" s="37" t="s">
        <v>54</v>
      </c>
    </row>
    <row r="10" spans="2:5" x14ac:dyDescent="0.45">
      <c r="B10" s="6" t="s">
        <v>45</v>
      </c>
      <c r="C10" s="32">
        <f ca="1">Coef!C41</f>
        <v>14.15</v>
      </c>
      <c r="D10" s="1">
        <f ca="1">Coef!D41</f>
        <v>13.149999999999999</v>
      </c>
    </row>
    <row r="11" spans="2:5" x14ac:dyDescent="0.45">
      <c r="B11" s="6" t="s">
        <v>44</v>
      </c>
      <c r="C11" s="32">
        <f ca="1">Coef!C40</f>
        <v>7.7250000000000005</v>
      </c>
      <c r="D11" s="1">
        <f ca="1">Coef!D40</f>
        <v>6.7249999999999996</v>
      </c>
    </row>
    <row r="12" spans="2:5" ht="14.65" thickBot="1" x14ac:dyDescent="0.5">
      <c r="B12" s="7" t="s">
        <v>43</v>
      </c>
      <c r="C12" s="33">
        <f ca="1">Coef!C39</f>
        <v>12.3</v>
      </c>
      <c r="D12" s="3">
        <f ca="1">Coef!D39</f>
        <v>11.3</v>
      </c>
    </row>
    <row r="14" spans="2:5" ht="14.65" thickBot="1" x14ac:dyDescent="0.5"/>
    <row r="15" spans="2:5" ht="15.75" x14ac:dyDescent="0.5">
      <c r="B15" s="24" t="s">
        <v>53</v>
      </c>
      <c r="C15" s="8" t="s">
        <v>59</v>
      </c>
      <c r="D15" s="8" t="s">
        <v>60</v>
      </c>
      <c r="E15" s="25" t="s">
        <v>51</v>
      </c>
    </row>
    <row r="16" spans="2:5" x14ac:dyDescent="0.45">
      <c r="B16" s="26" t="s">
        <v>56</v>
      </c>
      <c r="C16">
        <f>Note!F2</f>
        <v>36</v>
      </c>
      <c r="D16">
        <f>69</f>
        <v>69</v>
      </c>
      <c r="E16" s="27">
        <f>C16/D16</f>
        <v>0.52173913043478259</v>
      </c>
    </row>
    <row r="17" spans="2:5" ht="14.65" thickBot="1" x14ac:dyDescent="0.5">
      <c r="B17" s="28" t="s">
        <v>57</v>
      </c>
      <c r="C17" s="29">
        <f>69-C16</f>
        <v>33</v>
      </c>
      <c r="D17" s="29">
        <f>69</f>
        <v>69</v>
      </c>
      <c r="E17" s="30">
        <f>C17/D17</f>
        <v>0.47826086956521741</v>
      </c>
    </row>
    <row r="19" spans="2:5" ht="14.65" thickBot="1" x14ac:dyDescent="0.5"/>
    <row r="20" spans="2:5" ht="18" x14ac:dyDescent="0.55000000000000004">
      <c r="B20" s="34" t="s">
        <v>54</v>
      </c>
      <c r="C20" s="25"/>
    </row>
    <row r="21" spans="2:5" x14ac:dyDescent="0.45">
      <c r="B21" s="20" t="s">
        <v>61</v>
      </c>
      <c r="C21" s="31"/>
    </row>
    <row r="22" spans="2:5" x14ac:dyDescent="0.45">
      <c r="B22" s="26" t="str">
        <f>NBnote!B3</f>
        <v>Tableur et Reporting</v>
      </c>
      <c r="C22" s="2">
        <f ca="1">IF(COUNTIF(Note!$B$1:$B$36,B22)&gt;0, SUMIF(Note!$B$1:$B$36,B22,Note!$D$1:$D$1)/COUNTIF(Note!$B$1:$B$36,B22),"")</f>
        <v>11</v>
      </c>
    </row>
    <row r="23" spans="2:5" x14ac:dyDescent="0.45">
      <c r="B23" s="26" t="str">
        <f>NBnote!B4</f>
        <v>Bases de données relationnelles 1</v>
      </c>
      <c r="C23" s="2">
        <f ca="1">IF(COUNTIF(Note!$B$1:$B$36,B23)&gt;0, SUMIF(Note!$B$1:$B$36,B23,Note!$D$1:$D$1)/COUNTIF(Note!$B$1:$B$36,B23),"")</f>
        <v>11</v>
      </c>
    </row>
    <row r="24" spans="2:5" x14ac:dyDescent="0.45">
      <c r="B24" s="26" t="str">
        <f>NBnote!B5</f>
        <v>Bases de la programmation 1</v>
      </c>
      <c r="C24" s="2">
        <f ca="1">IF(COUNTIF(Note!$B$1:$B$36,B24)&gt;0, SUMIF(Note!$B$1:$B$36,B24,Note!$D$1:$D$1)/COUNTIF(Note!$B$1:$B$36,B24),"")</f>
        <v>12</v>
      </c>
    </row>
    <row r="25" spans="2:5" x14ac:dyDescent="0.45">
      <c r="B25" s="26" t="str">
        <f>NBnote!B6</f>
        <v>PPP1</v>
      </c>
      <c r="C25" s="2">
        <f ca="1">IF(COUNTIF(Note!$B$1:$B$36,B25)&gt;0, SUMIF(Note!$B$1:$B$36,B25,Note!$D$1:$D$1)/COUNTIF(Note!$B$1:$B$36,B25),"")</f>
        <v>10</v>
      </c>
    </row>
    <row r="26" spans="2:5" x14ac:dyDescent="0.45">
      <c r="B26" s="26" t="str">
        <f>NBnote!B7</f>
        <v xml:space="preserve">SAÉ - Reporting à partir de données stockées dans un SGBD relationnel </v>
      </c>
      <c r="C26" s="2">
        <f ca="1">IF(COUNTIF(Note!$B$1:$B$36,B26)&gt;0, SUMIF(Note!$B$1:$B$36,B26,Note!$D$1:$D$1)/COUNTIF(Note!$B$1:$B$36,B26),"")</f>
        <v>11.5</v>
      </c>
    </row>
    <row r="27" spans="2:5" x14ac:dyDescent="0.45">
      <c r="B27" s="26" t="str">
        <f>NBnote!B8</f>
        <v>SAÉ - Écriture et lecture de fichiers de données</v>
      </c>
      <c r="C27" s="2">
        <f ca="1">IF(COUNTIF(Note!$B$1:$B$36,B27)&gt;0, SUMIF(Note!$B$1:$B$36,B27,Note!$D$1:$D$1)/COUNTIF(Note!$B$1:$B$36,B27),"")</f>
        <v>13</v>
      </c>
    </row>
    <row r="28" spans="2:5" x14ac:dyDescent="0.45">
      <c r="B28" s="26" t="str">
        <f>NBnote!B9</f>
        <v>Statistique descriptive 1</v>
      </c>
      <c r="C28" s="2">
        <f ca="1">IF(COUNTIF(Note!$B$1:$B$36,B28)&gt;0, SUMIF(Note!$B$1:$B$36,B28,Note!$D$1:$D$1)/COUNTIF(Note!$B$1:$B$36,B28),"")</f>
        <v>8</v>
      </c>
    </row>
    <row r="29" spans="2:5" x14ac:dyDescent="0.45">
      <c r="B29" s="26" t="str">
        <f>NBnote!B10</f>
        <v>Probabilités 1</v>
      </c>
      <c r="C29" s="2">
        <f ca="1">IF(COUNTIF(Note!$B$1:$B$36,B29)&gt;0, SUMIF(Note!$B$1:$B$36,B29,Note!$D$1:$D$1)/COUNTIF(Note!$B$1:$B$36,B29),"")</f>
        <v>7</v>
      </c>
    </row>
    <row r="30" spans="2:5" x14ac:dyDescent="0.45">
      <c r="B30" s="26" t="str">
        <f>NBnote!B11</f>
        <v>Mathématiques - analyse</v>
      </c>
      <c r="C30" s="2">
        <f ca="1">IF(COUNTIF(Note!$B$1:$B$36,B30)&gt;0, SUMIF(Note!$B$1:$B$36,B30,Note!$D$1:$D$1)/COUNTIF(Note!$B$1:$B$36,B30),"")</f>
        <v>10</v>
      </c>
    </row>
    <row r="31" spans="2:5" x14ac:dyDescent="0.45">
      <c r="B31" s="26" t="str">
        <f>NBnote!B12</f>
        <v>SAÉ - Préparation et synthèse d'un tableau de données en vue d'une analyse exploratoire simple</v>
      </c>
      <c r="C31" s="2">
        <f ca="1">IF(COUNTIF(Note!$B$1:$B$36,B31)&gt;0, SUMIF(Note!$B$1:$B$36,B31,Note!$D$1:$D$1)/COUNTIF(Note!$B$1:$B$36,B31),"")</f>
        <v>6</v>
      </c>
    </row>
    <row r="32" spans="2:5" x14ac:dyDescent="0.45">
      <c r="B32" s="26" t="str">
        <f>NBnote!B13</f>
        <v>Initiation à l'anglais de spécialité</v>
      </c>
      <c r="C32" s="2">
        <f ca="1">IF(COUNTIF(Note!$B$1:$B$36,B32)&gt;0, SUMIF(Note!$B$1:$B$36,B32,Note!$D$1:$D$1)/COUNTIF(Note!$B$1:$B$36,B32),"")</f>
        <v>11</v>
      </c>
    </row>
    <row r="33" spans="2:3" x14ac:dyDescent="0.45">
      <c r="B33" s="26" t="str">
        <f>NBnote!B14</f>
        <v>Communication de l'information et recherche documentaire</v>
      </c>
      <c r="C33" s="2">
        <f ca="1">IF(COUNTIF(Note!$B$1:$B$36,B33)&gt;0, SUMIF(Note!$B$1:$B$36,B33,Note!$D$1:$D$1)/COUNTIF(Note!$B$1:$B$36,B33),"")</f>
        <v>9</v>
      </c>
    </row>
    <row r="34" spans="2:3" x14ac:dyDescent="0.45">
      <c r="B34" s="26" t="str">
        <f>NBnote!B15</f>
        <v xml:space="preserve">Découverte des données de l’environnement entrepreneurial et économique </v>
      </c>
      <c r="C34" s="2">
        <f ca="1">IF(COUNTIF(Note!$B$1:$B$36,B34)&gt;0, SUMIF(Note!$B$1:$B$36,B34,Note!$D$1:$D$1)/COUNTIF(Note!$B$1:$B$36,B34),"")</f>
        <v>10</v>
      </c>
    </row>
    <row r="35" spans="2:3" x14ac:dyDescent="0.45">
      <c r="B35" s="26" t="str">
        <f>NBnote!B16</f>
        <v>SAÉ - Apprendre en situation la production de données en entreprise</v>
      </c>
      <c r="C35" s="2">
        <f ca="1">IF(COUNTIF(Note!$B$1:$B$36,B35)&gt;0, SUMIF(Note!$B$1:$B$36,B35,Note!$D$1:$D$1)/COUNTIF(Note!$B$1:$B$36,B35),"")</f>
        <v>12</v>
      </c>
    </row>
    <row r="36" spans="2:3" x14ac:dyDescent="0.45">
      <c r="B36" s="26" t="str">
        <f>NBnote!B17</f>
        <v>SAÉ - Présentation en anglais d'un territoire économique et culturel</v>
      </c>
      <c r="C36" s="2">
        <f ca="1">IF(COUNTIF(Note!$B$1:$B$36,B36)&gt;0, SUMIF(Note!$B$1:$B$36,B36,Note!$D$1:$D$1)/COUNTIF(Note!$B$1:$B$36,B36),"")</f>
        <v>13</v>
      </c>
    </row>
    <row r="37" spans="2:3" x14ac:dyDescent="0.45">
      <c r="B37" s="26" t="str">
        <f>NBnote!B18</f>
        <v>SAÉ - Mise en oeuvre d'une enquête</v>
      </c>
      <c r="C37" s="2">
        <f ca="1">IF(COUNTIF(Note!$B$1:$B$36,B37)&gt;0, SUMIF(Note!$B$1:$B$36,B37,Note!$D$1:$D$1)/COUNTIF(Note!$B$1:$B$36,B37),"")</f>
        <v>14</v>
      </c>
    </row>
    <row r="38" spans="2:3" x14ac:dyDescent="0.45">
      <c r="B38" s="26" t="str">
        <f>NBnote!B19</f>
        <v>Reporting et datavisualisation</v>
      </c>
      <c r="C38" s="2">
        <f ca="1">IF(COUNTIF(Note!$B$1:$B$36,B38)&gt;0, SUMIF(Note!$B$1:$B$36,B38,Note!$D$1:$D$1)/COUNTIF(Note!$B$1:$B$36,B38),"")</f>
        <v>8</v>
      </c>
    </row>
    <row r="39" spans="2:3" x14ac:dyDescent="0.45">
      <c r="B39" s="26" t="str">
        <f>NBnote!B20</f>
        <v>Bases de données relationnelles 2</v>
      </c>
      <c r="C39" s="2">
        <f ca="1">IF(COUNTIF(Note!$B$1:$B$36,B39)&gt;0, SUMIF(Note!$B$1:$B$36,B39,Note!$D$1:$D$1)/COUNTIF(Note!$B$1:$B$36,B39),"")</f>
        <v>9</v>
      </c>
    </row>
    <row r="40" spans="2:3" x14ac:dyDescent="0.45">
      <c r="B40" s="26" t="str">
        <f>NBnote!B21</f>
        <v>Bases de la programmation 2</v>
      </c>
      <c r="C40" s="2">
        <f ca="1">IF(COUNTIF(Note!$B$1:$B$36,B40)&gt;0, SUMIF(Note!$B$1:$B$36,B40,Note!$D$1:$D$1)/COUNTIF(Note!$B$1:$B$36,B40),"")</f>
        <v>14</v>
      </c>
    </row>
    <row r="41" spans="2:3" x14ac:dyDescent="0.45">
      <c r="B41" s="26" t="str">
        <f>NBnote!B22</f>
        <v>Programmation statistique</v>
      </c>
      <c r="C41" s="2">
        <f ca="1">IF(COUNTIF(Note!$B$1:$B$36,B41)&gt;0, SUMIF(Note!$B$1:$B$36,B41,Note!$D$1:$D$1)/COUNTIF(Note!$B$1:$B$36,B41),"")</f>
        <v>15</v>
      </c>
    </row>
    <row r="42" spans="2:3" x14ac:dyDescent="0.45">
      <c r="B42" s="26" t="str">
        <f>NBnote!B23</f>
        <v>PPP2</v>
      </c>
      <c r="C42" s="2">
        <f ca="1">IF(COUNTIF(Note!$B$1:$B$36,B42)&gt;0, SUMIF(Note!$B$1:$B$36,B42,Note!$D$1:$D$1)/COUNTIF(Note!$B$1:$B$36,B42),"")</f>
        <v>11</v>
      </c>
    </row>
    <row r="43" spans="2:3" x14ac:dyDescent="0.45">
      <c r="B43" s="26" t="str">
        <f>NBnote!B24</f>
        <v>SAÉ - Conception et implémentation d'une base de données</v>
      </c>
      <c r="C43" s="2">
        <f ca="1">IF(COUNTIF(Note!$B$1:$B$36,B43)&gt;0, SUMIF(Note!$B$1:$B$36,B43,Note!$D$1:$D$1)/COUNTIF(Note!$B$1:$B$36,B43),"")</f>
        <v>11</v>
      </c>
    </row>
    <row r="44" spans="2:3" x14ac:dyDescent="0.45">
      <c r="B44" s="26" t="str">
        <f>NBnote!B25</f>
        <v>SAÉ - Datavisualisation</v>
      </c>
      <c r="C44" s="2">
        <f ca="1">IF(COUNTIF(Note!$B$1:$B$36,B44)&gt;0, SUMIF(Note!$B$1:$B$36,B44,Note!$D$1:$D$1)/COUNTIF(Note!$B$1:$B$36,B44),"")</f>
        <v>8</v>
      </c>
    </row>
    <row r="45" spans="2:3" x14ac:dyDescent="0.45">
      <c r="B45" s="26" t="str">
        <f>NBnote!B26</f>
        <v>SAÉ - Analyse de données, reporting et datavisualisation</v>
      </c>
      <c r="C45" s="2">
        <f ca="1">IF(COUNTIF(Note!$B$1:$B$36,B45)&gt;0, SUMIF(Note!$B$1:$B$36,B45,Note!$D$1:$D$1)/COUNTIF(Note!$B$1:$B$36,B45),"")</f>
        <v>11</v>
      </c>
    </row>
    <row r="46" spans="2:3" x14ac:dyDescent="0.45">
      <c r="B46" s="26" t="str">
        <f>NBnote!B27</f>
        <v>SAÉ - Portfolio</v>
      </c>
      <c r="C46" s="2">
        <f ca="1">IF(COUNTIF(Note!$B$1:$B$36,B46)&gt;0, SUMIF(Note!$B$1:$B$36,B46,Note!$D$1:$D$1)/COUNTIF(Note!$B$1:$B$36,B46),"")</f>
        <v>7</v>
      </c>
    </row>
    <row r="47" spans="2:3" x14ac:dyDescent="0.45">
      <c r="B47" s="26" t="str">
        <f>NBnote!B28</f>
        <v>Statistique descriptive 2</v>
      </c>
      <c r="C47" s="2">
        <f ca="1">IF(COUNTIF(Note!$B$1:$B$36,B47)&gt;0, SUMIF(Note!$B$1:$B$36,B47,Note!$D$1:$D$1)/COUNTIF(Note!$B$1:$B$36,B47),"")</f>
        <v>8</v>
      </c>
    </row>
    <row r="48" spans="2:3" x14ac:dyDescent="0.45">
      <c r="B48" s="26" t="str">
        <f>NBnote!B29</f>
        <v>Probabilités 2</v>
      </c>
      <c r="C48" s="2">
        <f ca="1">IF(COUNTIF(Note!$B$1:$B$36,B48)&gt;0, SUMIF(Note!$B$1:$B$36,B48,Note!$D$1:$D$1)/COUNTIF(Note!$B$1:$B$36,B48),"")</f>
        <v>0</v>
      </c>
    </row>
    <row r="49" spans="2:3" x14ac:dyDescent="0.45">
      <c r="B49" s="26" t="str">
        <f>NBnote!B30</f>
        <v>Bases de l'algèbre</v>
      </c>
      <c r="C49" s="2">
        <f ca="1">IF(COUNTIF(Note!$B$1:$B$36,B49)&gt;0, SUMIF(Note!$B$1:$B$36,B49,Note!$D$1:$D$1)/COUNTIF(Note!$B$1:$B$36,B49),"")</f>
        <v>0</v>
      </c>
    </row>
    <row r="50" spans="2:3" x14ac:dyDescent="0.45">
      <c r="B50" s="26" t="str">
        <f>NBnote!B31</f>
        <v>Statistique inférentielle</v>
      </c>
      <c r="C50" s="2">
        <f ca="1">IF(COUNTIF(Note!$B$1:$B$36,B50)&gt;0, SUMIF(Note!$B$1:$B$36,B50,Note!$D$1:$D$1)/COUNTIF(Note!$B$1:$B$36,B50),"")</f>
        <v>10</v>
      </c>
    </row>
    <row r="51" spans="2:3" x14ac:dyDescent="0.45">
      <c r="B51" s="26" t="str">
        <f>NBnote!B32</f>
        <v>SAÉ - Estimation par échantillonnage</v>
      </c>
      <c r="C51" s="2">
        <f ca="1">IF(COUNTIF(Note!$B$1:$B$36,B51)&gt;0, SUMIF(Note!$B$1:$B$36,B51,Note!$D$1:$D$1)/COUNTIF(Note!$B$1:$B$36,B51),"")</f>
        <v>5</v>
      </c>
    </row>
    <row r="52" spans="2:3" x14ac:dyDescent="0.45">
      <c r="B52" s="26" t="str">
        <f>NBnote!B33</f>
        <v>SAÉ - Régression sur des données réelles</v>
      </c>
      <c r="C52" s="2">
        <f ca="1">IF(COUNTIF(Note!$B$1:$B$36,B52)&gt;0, SUMIF(Note!$B$1:$B$36,B52,Note!$D$1:$D$1)/COUNTIF(Note!$B$1:$B$36,B52),"")</f>
        <v>7</v>
      </c>
    </row>
    <row r="53" spans="2:3" x14ac:dyDescent="0.45">
      <c r="B53" s="26" t="str">
        <f>NBnote!B34</f>
        <v>Approfondissement de l'anglais de spécialité</v>
      </c>
      <c r="C53" s="2">
        <f ca="1">IF(COUNTIF(Note!$B$1:$B$36,B53)&gt;0, SUMIF(Note!$B$1:$B$36,B53,Note!$D$1:$D$1)/COUNTIF(Note!$B$1:$B$36,B53),"")</f>
        <v>17</v>
      </c>
    </row>
    <row r="54" spans="2:3" x14ac:dyDescent="0.45">
      <c r="B54" s="26" t="str">
        <f>NBnote!B35</f>
        <v>Communication et sémiologie</v>
      </c>
      <c r="C54" s="2">
        <f ca="1">IF(COUNTIF(Note!$B$1:$B$36,B54)&gt;0, SUMIF(Note!$B$1:$B$36,B54,Note!$D$1:$D$1)/COUNTIF(Note!$B$1:$B$36,B54),"")</f>
        <v>18</v>
      </c>
    </row>
    <row r="55" spans="2:3" x14ac:dyDescent="0.45">
      <c r="B55" s="26" t="str">
        <f>NBnote!B36</f>
        <v>Étude des données de l'environnement entrepreneurial et économique</v>
      </c>
      <c r="C55" s="2">
        <f ca="1">IF(COUNTIF(Note!$B$1:$B$36,B55)&gt;0, SUMIF(Note!$B$1:$B$36,B55,Note!$D$1:$D$1)/COUNTIF(Note!$B$1:$B$36,B55),"")</f>
        <v>19</v>
      </c>
    </row>
    <row r="56" spans="2:3" ht="14.65" thickBot="1" x14ac:dyDescent="0.5">
      <c r="B56" s="28" t="str">
        <f>NBnote!B37</f>
        <v>SAÉ - Construction et présentation d'indicateurs de performance</v>
      </c>
      <c r="C56" s="35">
        <f ca="1">IF(COUNTIF(Note!$B$1:$B$36,B56)&gt;0, SUMIF(Note!$B$1:$B$36,B56,Note!$D$1:$D$1)/COUNTIF(Note!$B$1:$B$36,B56),"")</f>
        <v>16</v>
      </c>
    </row>
  </sheetData>
  <sheetProtection sheet="1" objects="1" scenarios="1"/>
  <conditionalFormatting sqref="C10:C12">
    <cfRule type="expression" dxfId="3" priority="1">
      <formula>NOT(ISNUMBER(C10))</formula>
    </cfRule>
    <cfRule type="cellIs" dxfId="2" priority="2" operator="greaterThanOrEqual">
      <formula>10</formula>
    </cfRule>
    <cfRule type="cellIs" dxfId="1" priority="3" operator="between">
      <formula>8</formula>
      <formula>10</formula>
    </cfRule>
    <cfRule type="cellIs" dxfId="0" priority="4" operator="lessThan">
      <formula>8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4B01D-BF9B-43C8-B661-5DDCF19AB0E2}">
  <sheetPr codeName="Feuil2"/>
  <dimension ref="B1:I36"/>
  <sheetViews>
    <sheetView workbookViewId="0">
      <selection activeCell="B2" sqref="B2:D36"/>
    </sheetView>
  </sheetViews>
  <sheetFormatPr baseColWidth="10" defaultColWidth="11.3984375" defaultRowHeight="14.25" x14ac:dyDescent="0.45"/>
  <cols>
    <col min="1" max="1" width="4.3984375" customWidth="1"/>
    <col min="2" max="2" width="88.265625" bestFit="1" customWidth="1"/>
    <col min="3" max="3" width="5.86328125" bestFit="1" customWidth="1"/>
    <col min="4" max="4" width="16.59765625" bestFit="1" customWidth="1"/>
    <col min="5" max="5" width="10.1328125" bestFit="1" customWidth="1"/>
    <col min="6" max="6" width="8.3984375" bestFit="1" customWidth="1"/>
    <col min="9" max="9" width="55.73046875" bestFit="1" customWidth="1"/>
    <col min="10" max="10" width="18.86328125" bestFit="1" customWidth="1"/>
  </cols>
  <sheetData>
    <row r="1" spans="2:9" ht="15.75" x14ac:dyDescent="0.5">
      <c r="B1" s="4" t="s">
        <v>46</v>
      </c>
      <c r="C1" s="4" t="s">
        <v>2</v>
      </c>
      <c r="D1" s="4" t="s">
        <v>54</v>
      </c>
      <c r="E1" s="4" t="s">
        <v>65</v>
      </c>
      <c r="F1" s="4" t="s">
        <v>55</v>
      </c>
    </row>
    <row r="2" spans="2:9" x14ac:dyDescent="0.45">
      <c r="B2" t="str">
        <f>NBnote!B3</f>
        <v>Tableur et Reporting</v>
      </c>
      <c r="C2">
        <v>12</v>
      </c>
      <c r="D2">
        <f>C2-1</f>
        <v>11</v>
      </c>
      <c r="F2">
        <f>69-COUNTIF(B2:B69,"")</f>
        <v>36</v>
      </c>
    </row>
    <row r="3" spans="2:9" x14ac:dyDescent="0.45">
      <c r="B3" t="str">
        <f>NBnote!B4</f>
        <v>Bases de données relationnelles 1</v>
      </c>
      <c r="C3">
        <v>12</v>
      </c>
      <c r="D3">
        <f t="shared" ref="D3:D36" si="0">C3-1</f>
        <v>11</v>
      </c>
    </row>
    <row r="4" spans="2:9" x14ac:dyDescent="0.45">
      <c r="B4" t="str">
        <f>NBnote!B5</f>
        <v>Bases de la programmation 1</v>
      </c>
      <c r="C4">
        <v>13</v>
      </c>
      <c r="D4">
        <f t="shared" si="0"/>
        <v>12</v>
      </c>
    </row>
    <row r="5" spans="2:9" x14ac:dyDescent="0.45">
      <c r="B5" t="str">
        <f>NBnote!B6</f>
        <v>PPP1</v>
      </c>
      <c r="C5">
        <v>11</v>
      </c>
      <c r="D5">
        <f t="shared" si="0"/>
        <v>10</v>
      </c>
    </row>
    <row r="6" spans="2:9" x14ac:dyDescent="0.45">
      <c r="B6" t="str">
        <f>NBnote!B7</f>
        <v xml:space="preserve">SAÉ - Reporting à partir de données stockées dans un SGBD relationnel </v>
      </c>
      <c r="C6">
        <v>12.5</v>
      </c>
      <c r="D6">
        <f t="shared" si="0"/>
        <v>11.5</v>
      </c>
    </row>
    <row r="7" spans="2:9" x14ac:dyDescent="0.45">
      <c r="B7" t="str">
        <f>NBnote!B8</f>
        <v>SAÉ - Écriture et lecture de fichiers de données</v>
      </c>
      <c r="C7">
        <v>14</v>
      </c>
      <c r="D7">
        <f t="shared" si="0"/>
        <v>13</v>
      </c>
    </row>
    <row r="8" spans="2:9" x14ac:dyDescent="0.45">
      <c r="B8" t="str">
        <f>NBnote!B9</f>
        <v>Statistique descriptive 1</v>
      </c>
      <c r="C8">
        <v>9</v>
      </c>
      <c r="D8">
        <f t="shared" si="0"/>
        <v>8</v>
      </c>
      <c r="I8" s="38" t="s">
        <v>63</v>
      </c>
    </row>
    <row r="9" spans="2:9" x14ac:dyDescent="0.45">
      <c r="B9" t="str">
        <f>NBnote!B10</f>
        <v>Probabilités 1</v>
      </c>
      <c r="C9">
        <v>8</v>
      </c>
      <c r="D9">
        <f t="shared" si="0"/>
        <v>7</v>
      </c>
      <c r="I9" t="s">
        <v>66</v>
      </c>
    </row>
    <row r="10" spans="2:9" x14ac:dyDescent="0.45">
      <c r="B10" t="str">
        <f>NBnote!B11</f>
        <v>Mathématiques - analyse</v>
      </c>
      <c r="C10">
        <v>11</v>
      </c>
      <c r="D10">
        <f t="shared" si="0"/>
        <v>10</v>
      </c>
      <c r="I10" t="s">
        <v>64</v>
      </c>
    </row>
    <row r="11" spans="2:9" x14ac:dyDescent="0.45">
      <c r="B11" t="str">
        <f>NBnote!B12</f>
        <v>SAÉ - Préparation et synthèse d'un tableau de données en vue d'une analyse exploratoire simple</v>
      </c>
      <c r="C11">
        <v>7</v>
      </c>
      <c r="D11">
        <f t="shared" si="0"/>
        <v>6</v>
      </c>
    </row>
    <row r="12" spans="2:9" x14ac:dyDescent="0.45">
      <c r="B12" t="str">
        <f>NBnote!B13</f>
        <v>Initiation à l'anglais de spécialité</v>
      </c>
      <c r="C12">
        <v>12</v>
      </c>
      <c r="D12">
        <f t="shared" si="0"/>
        <v>11</v>
      </c>
    </row>
    <row r="13" spans="2:9" x14ac:dyDescent="0.45">
      <c r="B13" t="str">
        <f>NBnote!B14</f>
        <v>Communication de l'information et recherche documentaire</v>
      </c>
      <c r="C13">
        <v>10</v>
      </c>
      <c r="D13">
        <f t="shared" si="0"/>
        <v>9</v>
      </c>
    </row>
    <row r="14" spans="2:9" x14ac:dyDescent="0.45">
      <c r="B14" t="str">
        <f>NBnote!B15</f>
        <v xml:space="preserve">Découverte des données de l’environnement entrepreneurial et économique </v>
      </c>
      <c r="C14">
        <v>11</v>
      </c>
      <c r="D14">
        <f t="shared" si="0"/>
        <v>10</v>
      </c>
    </row>
    <row r="15" spans="2:9" x14ac:dyDescent="0.45">
      <c r="B15" t="str">
        <f>NBnote!B16</f>
        <v>SAÉ - Apprendre en situation la production de données en entreprise</v>
      </c>
      <c r="C15">
        <v>13</v>
      </c>
      <c r="D15">
        <f t="shared" si="0"/>
        <v>12</v>
      </c>
    </row>
    <row r="16" spans="2:9" x14ac:dyDescent="0.45">
      <c r="B16" t="str">
        <f>NBnote!B17</f>
        <v>SAÉ - Présentation en anglais d'un territoire économique et culturel</v>
      </c>
      <c r="C16">
        <v>14</v>
      </c>
      <c r="D16">
        <f t="shared" si="0"/>
        <v>13</v>
      </c>
    </row>
    <row r="17" spans="2:4" x14ac:dyDescent="0.45">
      <c r="B17" t="str">
        <f>NBnote!B18</f>
        <v>SAÉ - Mise en oeuvre d'une enquête</v>
      </c>
      <c r="C17">
        <v>15</v>
      </c>
      <c r="D17">
        <f t="shared" si="0"/>
        <v>14</v>
      </c>
    </row>
    <row r="18" spans="2:4" x14ac:dyDescent="0.45">
      <c r="B18" t="str">
        <f>NBnote!B19</f>
        <v>Reporting et datavisualisation</v>
      </c>
      <c r="C18">
        <v>9</v>
      </c>
      <c r="D18">
        <f t="shared" si="0"/>
        <v>8</v>
      </c>
    </row>
    <row r="19" spans="2:4" x14ac:dyDescent="0.45">
      <c r="B19" t="str">
        <f>NBnote!B20</f>
        <v>Bases de données relationnelles 2</v>
      </c>
      <c r="C19">
        <v>10</v>
      </c>
      <c r="D19">
        <f t="shared" si="0"/>
        <v>9</v>
      </c>
    </row>
    <row r="20" spans="2:4" x14ac:dyDescent="0.45">
      <c r="B20" t="str">
        <f>NBnote!B21</f>
        <v>Bases de la programmation 2</v>
      </c>
      <c r="C20">
        <v>15</v>
      </c>
      <c r="D20">
        <f t="shared" si="0"/>
        <v>14</v>
      </c>
    </row>
    <row r="21" spans="2:4" x14ac:dyDescent="0.45">
      <c r="B21" t="str">
        <f>NBnote!B22</f>
        <v>Programmation statistique</v>
      </c>
      <c r="C21">
        <v>16</v>
      </c>
      <c r="D21">
        <f t="shared" si="0"/>
        <v>15</v>
      </c>
    </row>
    <row r="22" spans="2:4" x14ac:dyDescent="0.45">
      <c r="B22" t="str">
        <f>NBnote!B23</f>
        <v>PPP2</v>
      </c>
      <c r="C22">
        <v>12</v>
      </c>
      <c r="D22">
        <f t="shared" si="0"/>
        <v>11</v>
      </c>
    </row>
    <row r="23" spans="2:4" x14ac:dyDescent="0.45">
      <c r="B23" t="str">
        <f>NBnote!B24</f>
        <v>SAÉ - Conception et implémentation d'une base de données</v>
      </c>
      <c r="C23">
        <v>12</v>
      </c>
      <c r="D23">
        <f t="shared" si="0"/>
        <v>11</v>
      </c>
    </row>
    <row r="24" spans="2:4" x14ac:dyDescent="0.45">
      <c r="B24" t="str">
        <f>NBnote!B25</f>
        <v>SAÉ - Datavisualisation</v>
      </c>
      <c r="C24">
        <v>9</v>
      </c>
      <c r="D24">
        <f t="shared" si="0"/>
        <v>8</v>
      </c>
    </row>
    <row r="25" spans="2:4" x14ac:dyDescent="0.45">
      <c r="B25" t="str">
        <f>NBnote!B26</f>
        <v>SAÉ - Analyse de données, reporting et datavisualisation</v>
      </c>
      <c r="C25">
        <v>12</v>
      </c>
      <c r="D25">
        <f t="shared" si="0"/>
        <v>11</v>
      </c>
    </row>
    <row r="26" spans="2:4" x14ac:dyDescent="0.45">
      <c r="B26" t="str">
        <f>NBnote!B27</f>
        <v>SAÉ - Portfolio</v>
      </c>
      <c r="C26">
        <v>8</v>
      </c>
      <c r="D26">
        <f t="shared" si="0"/>
        <v>7</v>
      </c>
    </row>
    <row r="27" spans="2:4" x14ac:dyDescent="0.45">
      <c r="B27" t="str">
        <f>NBnote!B28</f>
        <v>Statistique descriptive 2</v>
      </c>
      <c r="C27">
        <v>9</v>
      </c>
      <c r="D27">
        <f t="shared" si="0"/>
        <v>8</v>
      </c>
    </row>
    <row r="28" spans="2:4" x14ac:dyDescent="0.45">
      <c r="B28" t="str">
        <f>NBnote!B29</f>
        <v>Probabilités 2</v>
      </c>
      <c r="C28">
        <v>1</v>
      </c>
      <c r="D28">
        <f t="shared" si="0"/>
        <v>0</v>
      </c>
    </row>
    <row r="29" spans="2:4" x14ac:dyDescent="0.45">
      <c r="B29" t="str">
        <f>NBnote!B30</f>
        <v>Bases de l'algèbre</v>
      </c>
      <c r="C29">
        <v>1</v>
      </c>
      <c r="D29">
        <f t="shared" si="0"/>
        <v>0</v>
      </c>
    </row>
    <row r="30" spans="2:4" x14ac:dyDescent="0.45">
      <c r="B30" t="str">
        <f>NBnote!B31</f>
        <v>Statistique inférentielle</v>
      </c>
      <c r="C30">
        <v>11</v>
      </c>
      <c r="D30">
        <f t="shared" si="0"/>
        <v>10</v>
      </c>
    </row>
    <row r="31" spans="2:4" x14ac:dyDescent="0.45">
      <c r="B31" t="str">
        <f>NBnote!B32</f>
        <v>SAÉ - Estimation par échantillonnage</v>
      </c>
      <c r="C31">
        <v>6</v>
      </c>
      <c r="D31">
        <f t="shared" si="0"/>
        <v>5</v>
      </c>
    </row>
    <row r="32" spans="2:4" x14ac:dyDescent="0.45">
      <c r="B32" t="str">
        <f>NBnote!B33</f>
        <v>SAÉ - Régression sur des données réelles</v>
      </c>
      <c r="C32">
        <v>8</v>
      </c>
      <c r="D32">
        <f t="shared" si="0"/>
        <v>7</v>
      </c>
    </row>
    <row r="33" spans="2:4" x14ac:dyDescent="0.45">
      <c r="B33" t="str">
        <f>NBnote!B34</f>
        <v>Approfondissement de l'anglais de spécialité</v>
      </c>
      <c r="C33">
        <v>18</v>
      </c>
      <c r="D33">
        <f t="shared" si="0"/>
        <v>17</v>
      </c>
    </row>
    <row r="34" spans="2:4" x14ac:dyDescent="0.45">
      <c r="B34" t="str">
        <f>NBnote!B35</f>
        <v>Communication et sémiologie</v>
      </c>
      <c r="C34">
        <v>19</v>
      </c>
      <c r="D34">
        <f t="shared" si="0"/>
        <v>18</v>
      </c>
    </row>
    <row r="35" spans="2:4" x14ac:dyDescent="0.45">
      <c r="B35" t="str">
        <f>NBnote!B36</f>
        <v>Étude des données de l'environnement entrepreneurial et économique</v>
      </c>
      <c r="C35">
        <v>20</v>
      </c>
      <c r="D35">
        <f t="shared" si="0"/>
        <v>19</v>
      </c>
    </row>
    <row r="36" spans="2:4" x14ac:dyDescent="0.45">
      <c r="B36" t="str">
        <f>NBnote!B37</f>
        <v>SAÉ - Construction et présentation d'indicateurs de performance</v>
      </c>
      <c r="C36">
        <v>17</v>
      </c>
      <c r="D36">
        <f t="shared" si="0"/>
        <v>16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B78F-C417-45CD-8923-A78846753C56}">
  <sheetPr codeName="Feuil3"/>
  <dimension ref="B1:E38"/>
  <sheetViews>
    <sheetView tabSelected="1" workbookViewId="0">
      <selection activeCell="B21" sqref="B21"/>
    </sheetView>
  </sheetViews>
  <sheetFormatPr baseColWidth="10" defaultColWidth="11.3984375" defaultRowHeight="14.25" x14ac:dyDescent="0.45"/>
  <cols>
    <col min="2" max="2" width="64.86328125" bestFit="1" customWidth="1"/>
    <col min="3" max="3" width="17.3984375" bestFit="1" customWidth="1"/>
  </cols>
  <sheetData>
    <row r="1" spans="2:5" ht="14.65" thickBot="1" x14ac:dyDescent="0.5"/>
    <row r="2" spans="2:5" ht="15.75" x14ac:dyDescent="0.5">
      <c r="B2" s="9" t="s">
        <v>46</v>
      </c>
      <c r="C2" s="10" t="s">
        <v>47</v>
      </c>
    </row>
    <row r="3" spans="2:5" x14ac:dyDescent="0.45">
      <c r="B3" s="11" t="s">
        <v>4</v>
      </c>
      <c r="C3" s="12">
        <v>2</v>
      </c>
    </row>
    <row r="4" spans="2:5" x14ac:dyDescent="0.45">
      <c r="B4" s="11" t="s">
        <v>6</v>
      </c>
      <c r="C4" s="12">
        <v>2</v>
      </c>
    </row>
    <row r="5" spans="2:5" x14ac:dyDescent="0.45">
      <c r="B5" s="11" t="s">
        <v>8</v>
      </c>
      <c r="C5" s="12">
        <v>3</v>
      </c>
      <c r="E5" t="s">
        <v>62</v>
      </c>
    </row>
    <row r="6" spans="2:5" x14ac:dyDescent="0.45">
      <c r="B6" s="11" t="s">
        <v>10</v>
      </c>
      <c r="C6" s="12">
        <v>2</v>
      </c>
    </row>
    <row r="7" spans="2:5" x14ac:dyDescent="0.45">
      <c r="B7" s="11" t="s">
        <v>12</v>
      </c>
      <c r="C7" s="12">
        <v>2</v>
      </c>
    </row>
    <row r="8" spans="2:5" x14ac:dyDescent="0.45">
      <c r="B8" s="11" t="s">
        <v>14</v>
      </c>
      <c r="C8" s="12">
        <v>1</v>
      </c>
    </row>
    <row r="9" spans="2:5" x14ac:dyDescent="0.45">
      <c r="B9" s="13" t="s">
        <v>21</v>
      </c>
      <c r="C9" s="14">
        <v>2</v>
      </c>
    </row>
    <row r="10" spans="2:5" x14ac:dyDescent="0.45">
      <c r="B10" s="13" t="s">
        <v>22</v>
      </c>
      <c r="C10" s="14">
        <v>2</v>
      </c>
    </row>
    <row r="11" spans="2:5" x14ac:dyDescent="0.45">
      <c r="B11" s="13" t="s">
        <v>23</v>
      </c>
      <c r="C11" s="14">
        <v>3</v>
      </c>
    </row>
    <row r="12" spans="2:5" ht="28.5" x14ac:dyDescent="0.45">
      <c r="B12" s="13" t="s">
        <v>25</v>
      </c>
      <c r="C12" s="14">
        <v>2</v>
      </c>
    </row>
    <row r="13" spans="2:5" x14ac:dyDescent="0.45">
      <c r="B13" s="13" t="s">
        <v>30</v>
      </c>
      <c r="C13" s="14">
        <v>3</v>
      </c>
    </row>
    <row r="14" spans="2:5" x14ac:dyDescent="0.45">
      <c r="B14" s="13" t="s">
        <v>32</v>
      </c>
      <c r="C14" s="14">
        <v>1</v>
      </c>
    </row>
    <row r="15" spans="2:5" x14ac:dyDescent="0.45">
      <c r="B15" s="13" t="s">
        <v>34</v>
      </c>
      <c r="C15" s="14">
        <v>4</v>
      </c>
    </row>
    <row r="16" spans="2:5" x14ac:dyDescent="0.45">
      <c r="B16" s="13" t="s">
        <v>35</v>
      </c>
      <c r="C16" s="14">
        <v>1</v>
      </c>
    </row>
    <row r="17" spans="2:3" x14ac:dyDescent="0.45">
      <c r="B17" s="13" t="s">
        <v>36</v>
      </c>
      <c r="C17" s="14">
        <v>2</v>
      </c>
    </row>
    <row r="18" spans="2:3" x14ac:dyDescent="0.45">
      <c r="B18" s="13" t="s">
        <v>37</v>
      </c>
      <c r="C18" s="14">
        <v>1</v>
      </c>
    </row>
    <row r="19" spans="2:3" x14ac:dyDescent="0.45">
      <c r="B19" s="11" t="s">
        <v>5</v>
      </c>
      <c r="C19" s="12">
        <v>2</v>
      </c>
    </row>
    <row r="20" spans="2:3" x14ac:dyDescent="0.45">
      <c r="B20" s="11" t="s">
        <v>7</v>
      </c>
      <c r="C20" s="12">
        <v>2</v>
      </c>
    </row>
    <row r="21" spans="2:3" x14ac:dyDescent="0.45">
      <c r="B21" s="11" t="s">
        <v>9</v>
      </c>
      <c r="C21" s="12">
        <v>2</v>
      </c>
    </row>
    <row r="22" spans="2:3" x14ac:dyDescent="0.45">
      <c r="B22" s="11" t="s">
        <v>11</v>
      </c>
      <c r="C22" s="12">
        <v>3</v>
      </c>
    </row>
    <row r="23" spans="2:3" x14ac:dyDescent="0.45">
      <c r="B23" s="11" t="s">
        <v>13</v>
      </c>
      <c r="C23" s="12">
        <v>2</v>
      </c>
    </row>
    <row r="24" spans="2:3" x14ac:dyDescent="0.45">
      <c r="B24" s="11" t="s">
        <v>15</v>
      </c>
      <c r="C24" s="12">
        <v>1</v>
      </c>
    </row>
    <row r="25" spans="2:3" x14ac:dyDescent="0.45">
      <c r="B25" s="13" t="s">
        <v>17</v>
      </c>
      <c r="C25" s="12">
        <v>2</v>
      </c>
    </row>
    <row r="26" spans="2:3" x14ac:dyDescent="0.45">
      <c r="B26" s="13" t="s">
        <v>18</v>
      </c>
      <c r="C26" s="12">
        <v>3</v>
      </c>
    </row>
    <row r="27" spans="2:3" x14ac:dyDescent="0.45">
      <c r="B27" s="11" t="s">
        <v>19</v>
      </c>
      <c r="C27" s="12">
        <v>1</v>
      </c>
    </row>
    <row r="28" spans="2:3" x14ac:dyDescent="0.45">
      <c r="B28" s="13" t="s">
        <v>24</v>
      </c>
      <c r="C28" s="14">
        <v>1</v>
      </c>
    </row>
    <row r="29" spans="2:3" x14ac:dyDescent="0.45">
      <c r="B29" s="13" t="s">
        <v>26</v>
      </c>
      <c r="C29" s="14">
        <v>2</v>
      </c>
    </row>
    <row r="30" spans="2:3" x14ac:dyDescent="0.45">
      <c r="B30" s="13" t="s">
        <v>27</v>
      </c>
      <c r="C30" s="14">
        <v>1</v>
      </c>
    </row>
    <row r="31" spans="2:3" x14ac:dyDescent="0.45">
      <c r="B31" s="13" t="s">
        <v>28</v>
      </c>
      <c r="C31" s="14">
        <v>2</v>
      </c>
    </row>
    <row r="32" spans="2:3" x14ac:dyDescent="0.45">
      <c r="B32" s="13" t="s">
        <v>31</v>
      </c>
      <c r="C32" s="14">
        <v>1</v>
      </c>
    </row>
    <row r="33" spans="2:3" x14ac:dyDescent="0.45">
      <c r="B33" s="13" t="s">
        <v>33</v>
      </c>
      <c r="C33" s="14">
        <v>1</v>
      </c>
    </row>
    <row r="34" spans="2:3" x14ac:dyDescent="0.45">
      <c r="B34" s="13" t="s">
        <v>38</v>
      </c>
      <c r="C34" s="14">
        <v>3</v>
      </c>
    </row>
    <row r="35" spans="2:3" x14ac:dyDescent="0.45">
      <c r="B35" s="13" t="s">
        <v>39</v>
      </c>
      <c r="C35" s="14">
        <v>2</v>
      </c>
    </row>
    <row r="36" spans="2:3" x14ac:dyDescent="0.45">
      <c r="B36" s="13" t="s">
        <v>40</v>
      </c>
      <c r="C36" s="14">
        <v>4</v>
      </c>
    </row>
    <row r="37" spans="2:3" x14ac:dyDescent="0.45">
      <c r="B37" s="13" t="s">
        <v>41</v>
      </c>
      <c r="C37" s="14">
        <v>1</v>
      </c>
    </row>
    <row r="38" spans="2:3" ht="16.149999999999999" thickBot="1" x14ac:dyDescent="0.5">
      <c r="B38" s="15" t="s">
        <v>48</v>
      </c>
      <c r="C38" s="16">
        <f>SUM(C3:C37)</f>
        <v>69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AE5C5-5DAF-4C14-AFB4-A7A0FCA5B6A9}">
  <sheetPr codeName="Feuil5"/>
  <dimension ref="B2:D36"/>
  <sheetViews>
    <sheetView topLeftCell="A11" workbookViewId="0">
      <selection activeCell="B2" sqref="B2:D36"/>
    </sheetView>
  </sheetViews>
  <sheetFormatPr baseColWidth="10" defaultRowHeight="14.25" x14ac:dyDescent="0.45"/>
  <cols>
    <col min="1" max="1" width="5" customWidth="1"/>
    <col min="2" max="2" width="88.265625" bestFit="1" customWidth="1"/>
    <col min="3" max="4" width="5" bestFit="1" customWidth="1"/>
  </cols>
  <sheetData>
    <row r="2" spans="2:4" x14ac:dyDescent="0.45">
      <c r="B2" t="str">
        <f>NBnote!B3</f>
        <v>Tableur et Reporting</v>
      </c>
      <c r="C2">
        <v>12</v>
      </c>
      <c r="D2">
        <f>C2-1</f>
        <v>11</v>
      </c>
    </row>
    <row r="3" spans="2:4" x14ac:dyDescent="0.45">
      <c r="B3" t="str">
        <f>NBnote!B4</f>
        <v>Bases de données relationnelles 1</v>
      </c>
      <c r="C3">
        <v>12</v>
      </c>
      <c r="D3">
        <f t="shared" ref="D3:D36" si="0">C3-1</f>
        <v>11</v>
      </c>
    </row>
    <row r="4" spans="2:4" x14ac:dyDescent="0.45">
      <c r="B4" t="str">
        <f>NBnote!B5</f>
        <v>Bases de la programmation 1</v>
      </c>
      <c r="C4">
        <v>13</v>
      </c>
      <c r="D4">
        <f t="shared" si="0"/>
        <v>12</v>
      </c>
    </row>
    <row r="5" spans="2:4" x14ac:dyDescent="0.45">
      <c r="B5" t="str">
        <f>NBnote!B6</f>
        <v>PPP1</v>
      </c>
      <c r="C5">
        <v>11</v>
      </c>
      <c r="D5">
        <f t="shared" si="0"/>
        <v>10</v>
      </c>
    </row>
    <row r="6" spans="2:4" x14ac:dyDescent="0.45">
      <c r="B6" t="str">
        <f>NBnote!B7</f>
        <v xml:space="preserve">SAÉ - Reporting à partir de données stockées dans un SGBD relationnel </v>
      </c>
      <c r="C6">
        <v>12.5</v>
      </c>
      <c r="D6">
        <f t="shared" si="0"/>
        <v>11.5</v>
      </c>
    </row>
    <row r="7" spans="2:4" x14ac:dyDescent="0.45">
      <c r="B7" t="str">
        <f>NBnote!B8</f>
        <v>SAÉ - Écriture et lecture de fichiers de données</v>
      </c>
      <c r="C7">
        <v>14</v>
      </c>
      <c r="D7">
        <f t="shared" si="0"/>
        <v>13</v>
      </c>
    </row>
    <row r="8" spans="2:4" x14ac:dyDescent="0.45">
      <c r="B8" t="str">
        <f>NBnote!B9</f>
        <v>Statistique descriptive 1</v>
      </c>
      <c r="C8">
        <v>9</v>
      </c>
      <c r="D8">
        <f t="shared" si="0"/>
        <v>8</v>
      </c>
    </row>
    <row r="9" spans="2:4" x14ac:dyDescent="0.45">
      <c r="B9" t="str">
        <f>NBnote!B10</f>
        <v>Probabilités 1</v>
      </c>
      <c r="C9">
        <v>8</v>
      </c>
      <c r="D9">
        <f t="shared" si="0"/>
        <v>7</v>
      </c>
    </row>
    <row r="10" spans="2:4" x14ac:dyDescent="0.45">
      <c r="B10" t="str">
        <f>NBnote!B11</f>
        <v>Mathématiques - analyse</v>
      </c>
      <c r="C10">
        <v>11</v>
      </c>
      <c r="D10">
        <f t="shared" si="0"/>
        <v>10</v>
      </c>
    </row>
    <row r="11" spans="2:4" x14ac:dyDescent="0.45">
      <c r="B11" t="str">
        <f>NBnote!B12</f>
        <v>SAÉ - Préparation et synthèse d'un tableau de données en vue d'une analyse exploratoire simple</v>
      </c>
      <c r="C11">
        <v>7</v>
      </c>
      <c r="D11">
        <f t="shared" si="0"/>
        <v>6</v>
      </c>
    </row>
    <row r="12" spans="2:4" x14ac:dyDescent="0.45">
      <c r="B12" t="str">
        <f>NBnote!B13</f>
        <v>Initiation à l'anglais de spécialité</v>
      </c>
      <c r="C12">
        <v>12</v>
      </c>
      <c r="D12">
        <f t="shared" si="0"/>
        <v>11</v>
      </c>
    </row>
    <row r="13" spans="2:4" x14ac:dyDescent="0.45">
      <c r="B13" t="str">
        <f>NBnote!B14</f>
        <v>Communication de l'information et recherche documentaire</v>
      </c>
      <c r="C13">
        <v>10</v>
      </c>
      <c r="D13">
        <f t="shared" si="0"/>
        <v>9</v>
      </c>
    </row>
    <row r="14" spans="2:4" x14ac:dyDescent="0.45">
      <c r="B14" t="str">
        <f>NBnote!B15</f>
        <v xml:space="preserve">Découverte des données de l’environnement entrepreneurial et économique </v>
      </c>
      <c r="C14">
        <v>11</v>
      </c>
      <c r="D14">
        <f t="shared" si="0"/>
        <v>10</v>
      </c>
    </row>
    <row r="15" spans="2:4" x14ac:dyDescent="0.45">
      <c r="B15" t="str">
        <f>NBnote!B16</f>
        <v>SAÉ - Apprendre en situation la production de données en entreprise</v>
      </c>
      <c r="C15">
        <v>13</v>
      </c>
      <c r="D15">
        <f t="shared" si="0"/>
        <v>12</v>
      </c>
    </row>
    <row r="16" spans="2:4" x14ac:dyDescent="0.45">
      <c r="B16" t="str">
        <f>NBnote!B17</f>
        <v>SAÉ - Présentation en anglais d'un territoire économique et culturel</v>
      </c>
      <c r="C16">
        <v>14</v>
      </c>
      <c r="D16">
        <f t="shared" si="0"/>
        <v>13</v>
      </c>
    </row>
    <row r="17" spans="2:4" x14ac:dyDescent="0.45">
      <c r="B17" t="str">
        <f>NBnote!B18</f>
        <v>SAÉ - Mise en oeuvre d'une enquête</v>
      </c>
      <c r="C17">
        <v>15</v>
      </c>
      <c r="D17">
        <f t="shared" si="0"/>
        <v>14</v>
      </c>
    </row>
    <row r="18" spans="2:4" x14ac:dyDescent="0.45">
      <c r="B18" t="str">
        <f>NBnote!B19</f>
        <v>Reporting et datavisualisation</v>
      </c>
      <c r="C18">
        <v>9</v>
      </c>
      <c r="D18">
        <f t="shared" si="0"/>
        <v>8</v>
      </c>
    </row>
    <row r="19" spans="2:4" x14ac:dyDescent="0.45">
      <c r="B19" t="str">
        <f>NBnote!B20</f>
        <v>Bases de données relationnelles 2</v>
      </c>
      <c r="C19">
        <v>10</v>
      </c>
      <c r="D19">
        <f t="shared" si="0"/>
        <v>9</v>
      </c>
    </row>
    <row r="20" spans="2:4" x14ac:dyDescent="0.45">
      <c r="B20" t="str">
        <f>NBnote!B21</f>
        <v>Bases de la programmation 2</v>
      </c>
      <c r="C20">
        <v>15</v>
      </c>
      <c r="D20">
        <f t="shared" si="0"/>
        <v>14</v>
      </c>
    </row>
    <row r="21" spans="2:4" x14ac:dyDescent="0.45">
      <c r="B21" t="str">
        <f>NBnote!B22</f>
        <v>Programmation statistique</v>
      </c>
      <c r="C21">
        <v>16</v>
      </c>
      <c r="D21">
        <f t="shared" si="0"/>
        <v>15</v>
      </c>
    </row>
    <row r="22" spans="2:4" x14ac:dyDescent="0.45">
      <c r="B22" t="str">
        <f>NBnote!B23</f>
        <v>PPP2</v>
      </c>
      <c r="C22">
        <v>12</v>
      </c>
      <c r="D22">
        <f t="shared" si="0"/>
        <v>11</v>
      </c>
    </row>
    <row r="23" spans="2:4" x14ac:dyDescent="0.45">
      <c r="B23" t="str">
        <f>NBnote!B24</f>
        <v>SAÉ - Conception et implémentation d'une base de données</v>
      </c>
      <c r="C23">
        <v>12</v>
      </c>
      <c r="D23">
        <f t="shared" si="0"/>
        <v>11</v>
      </c>
    </row>
    <row r="24" spans="2:4" x14ac:dyDescent="0.45">
      <c r="B24" t="str">
        <f>NBnote!B25</f>
        <v>SAÉ - Datavisualisation</v>
      </c>
      <c r="C24">
        <v>9</v>
      </c>
      <c r="D24">
        <f t="shared" si="0"/>
        <v>8</v>
      </c>
    </row>
    <row r="25" spans="2:4" x14ac:dyDescent="0.45">
      <c r="B25" t="str">
        <f>NBnote!B26</f>
        <v>SAÉ - Analyse de données, reporting et datavisualisation</v>
      </c>
      <c r="C25">
        <v>12</v>
      </c>
      <c r="D25">
        <f t="shared" si="0"/>
        <v>11</v>
      </c>
    </row>
    <row r="26" spans="2:4" x14ac:dyDescent="0.45">
      <c r="B26" t="str">
        <f>NBnote!B27</f>
        <v>SAÉ - Portfolio</v>
      </c>
      <c r="C26">
        <v>8</v>
      </c>
      <c r="D26">
        <f t="shared" si="0"/>
        <v>7</v>
      </c>
    </row>
    <row r="27" spans="2:4" x14ac:dyDescent="0.45">
      <c r="B27" t="str">
        <f>NBnote!B28</f>
        <v>Statistique descriptive 2</v>
      </c>
      <c r="C27">
        <v>9</v>
      </c>
      <c r="D27">
        <f t="shared" si="0"/>
        <v>8</v>
      </c>
    </row>
    <row r="28" spans="2:4" x14ac:dyDescent="0.45">
      <c r="B28" t="str">
        <f>NBnote!B29</f>
        <v>Probabilités 2</v>
      </c>
      <c r="C28">
        <v>1</v>
      </c>
      <c r="D28">
        <f t="shared" si="0"/>
        <v>0</v>
      </c>
    </row>
    <row r="29" spans="2:4" x14ac:dyDescent="0.45">
      <c r="B29" t="str">
        <f>NBnote!B30</f>
        <v>Bases de l'algèbre</v>
      </c>
      <c r="C29">
        <v>1</v>
      </c>
      <c r="D29">
        <f t="shared" si="0"/>
        <v>0</v>
      </c>
    </row>
    <row r="30" spans="2:4" x14ac:dyDescent="0.45">
      <c r="B30" t="str">
        <f>NBnote!B31</f>
        <v>Statistique inférentielle</v>
      </c>
      <c r="C30">
        <v>11</v>
      </c>
      <c r="D30">
        <f t="shared" si="0"/>
        <v>10</v>
      </c>
    </row>
    <row r="31" spans="2:4" x14ac:dyDescent="0.45">
      <c r="B31" t="str">
        <f>NBnote!B32</f>
        <v>SAÉ - Estimation par échantillonnage</v>
      </c>
      <c r="C31">
        <v>6</v>
      </c>
      <c r="D31">
        <f t="shared" si="0"/>
        <v>5</v>
      </c>
    </row>
    <row r="32" spans="2:4" x14ac:dyDescent="0.45">
      <c r="B32" t="str">
        <f>NBnote!B33</f>
        <v>SAÉ - Régression sur des données réelles</v>
      </c>
      <c r="C32">
        <v>8</v>
      </c>
      <c r="D32">
        <f t="shared" si="0"/>
        <v>7</v>
      </c>
    </row>
    <row r="33" spans="2:4" x14ac:dyDescent="0.45">
      <c r="B33" t="str">
        <f>NBnote!B34</f>
        <v>Approfondissement de l'anglais de spécialité</v>
      </c>
      <c r="C33">
        <v>18</v>
      </c>
      <c r="D33">
        <f t="shared" si="0"/>
        <v>17</v>
      </c>
    </row>
    <row r="34" spans="2:4" x14ac:dyDescent="0.45">
      <c r="B34" t="str">
        <f>NBnote!B35</f>
        <v>Communication et sémiologie</v>
      </c>
      <c r="C34">
        <v>19</v>
      </c>
      <c r="D34">
        <f t="shared" si="0"/>
        <v>18</v>
      </c>
    </row>
    <row r="35" spans="2:4" x14ac:dyDescent="0.45">
      <c r="B35" t="str">
        <f>NBnote!B36</f>
        <v>Étude des données de l'environnement entrepreneurial et économique</v>
      </c>
      <c r="C35">
        <v>20</v>
      </c>
      <c r="D35">
        <f t="shared" si="0"/>
        <v>19</v>
      </c>
    </row>
    <row r="36" spans="2:4" x14ac:dyDescent="0.45">
      <c r="B36" t="str">
        <f>NBnote!B37</f>
        <v>SAÉ - Construction et présentation d'indicateurs de performance</v>
      </c>
      <c r="C36">
        <v>17</v>
      </c>
      <c r="D36">
        <f t="shared" si="0"/>
        <v>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Coef</vt:lpstr>
      <vt:lpstr>Graphique</vt:lpstr>
      <vt:lpstr>Note</vt:lpstr>
      <vt:lpstr>NBnote</vt:lpstr>
      <vt:lpstr>Annexe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Paul Babin</cp:lastModifiedBy>
  <cp:revision/>
  <dcterms:created xsi:type="dcterms:W3CDTF">2021-04-11T08:18:39Z</dcterms:created>
  <dcterms:modified xsi:type="dcterms:W3CDTF">2025-01-08T22:50:29Z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